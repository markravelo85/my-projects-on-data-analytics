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el\OneDrive\Documentos\CURSO ALETIA DATA ANALYST\STATISTICS FUNDAMENTALS\"/>
    </mc:Choice>
  </mc:AlternateContent>
  <xr:revisionPtr revIDLastSave="0" documentId="13_ncr:1_{3E8076E0-7707-442D-A0D0-3FA6621305EF}" xr6:coauthVersionLast="47" xr6:coauthVersionMax="47" xr10:uidLastSave="{00000000-0000-0000-0000-000000000000}"/>
  <bookViews>
    <workbookView xWindow="-120" yWindow="-120" windowWidth="24240" windowHeight="13140" activeTab="1" xr2:uid="{95B8B28F-9904-4CB0-92FE-8C4088210064}"/>
  </bookViews>
  <sheets>
    <sheet name="Incidencia delictiva estados" sheetId="1" r:id="rId1"/>
    <sheet name="incidencia vs desempleo" sheetId="2" r:id="rId2"/>
    <sheet name="desempl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H26" i="3" s="1"/>
  <c r="N5" i="1"/>
  <c r="N6" i="1"/>
  <c r="D28" i="3" s="1"/>
  <c r="N7" i="1"/>
  <c r="B29" i="3" s="1"/>
  <c r="N8" i="1"/>
  <c r="N9" i="1"/>
  <c r="N10" i="1"/>
  <c r="D32" i="3" s="1"/>
  <c r="N11" i="1"/>
  <c r="B33" i="3" s="1"/>
  <c r="N12" i="1"/>
  <c r="F34" i="3" s="1"/>
  <c r="N13" i="1"/>
  <c r="N14" i="1"/>
  <c r="D36" i="3" s="1"/>
  <c r="N15" i="1"/>
  <c r="H37" i="3" s="1"/>
  <c r="N16" i="1"/>
  <c r="N17" i="1"/>
  <c r="N18" i="1"/>
  <c r="D40" i="3" s="1"/>
  <c r="N19" i="1"/>
  <c r="H41" i="3" s="1"/>
  <c r="N20" i="1"/>
  <c r="F42" i="3" s="1"/>
  <c r="N21" i="1"/>
  <c r="N22" i="1"/>
  <c r="F44" i="3" s="1"/>
  <c r="N23" i="1"/>
  <c r="N24" i="1"/>
  <c r="N25" i="1"/>
  <c r="N26" i="1"/>
  <c r="F48" i="3" s="1"/>
  <c r="N27" i="1"/>
  <c r="F49" i="3" s="1"/>
  <c r="N28" i="1"/>
  <c r="D50" i="3" s="1"/>
  <c r="N29" i="1"/>
  <c r="N30" i="1"/>
  <c r="F52" i="3" s="1"/>
  <c r="N31" i="1"/>
  <c r="E53" i="3" s="1"/>
  <c r="N32" i="1"/>
  <c r="D54" i="3" s="1"/>
  <c r="N33" i="1"/>
  <c r="D55" i="3" s="1"/>
  <c r="N34" i="1"/>
  <c r="D56" i="3" s="1"/>
  <c r="N35" i="1"/>
  <c r="D57" i="3" s="1"/>
  <c r="N3" i="1"/>
  <c r="J25" i="3" s="1"/>
  <c r="E46" i="3" l="1"/>
  <c r="I46" i="3"/>
  <c r="M46" i="3"/>
  <c r="C38" i="3"/>
  <c r="G38" i="3"/>
  <c r="K38" i="3"/>
  <c r="E38" i="3"/>
  <c r="I38" i="3"/>
  <c r="M38" i="3"/>
  <c r="C30" i="3"/>
  <c r="G30" i="3"/>
  <c r="K30" i="3"/>
  <c r="E30" i="3"/>
  <c r="I30" i="3"/>
  <c r="M30" i="3"/>
  <c r="E45" i="3"/>
  <c r="I45" i="3"/>
  <c r="M45" i="3"/>
  <c r="E51" i="3"/>
  <c r="I51" i="3"/>
  <c r="M51" i="3"/>
  <c r="E47" i="3"/>
  <c r="I47" i="3"/>
  <c r="M47" i="3"/>
  <c r="C43" i="3"/>
  <c r="E43" i="3"/>
  <c r="I43" i="3"/>
  <c r="M43" i="3"/>
  <c r="C39" i="3"/>
  <c r="G39" i="3"/>
  <c r="K39" i="3"/>
  <c r="E39" i="3"/>
  <c r="I39" i="3"/>
  <c r="M39" i="3"/>
  <c r="C35" i="3"/>
  <c r="G35" i="3"/>
  <c r="K35" i="3"/>
  <c r="E35" i="3"/>
  <c r="I35" i="3"/>
  <c r="M35" i="3"/>
  <c r="C31" i="3"/>
  <c r="G31" i="3"/>
  <c r="K31" i="3"/>
  <c r="E31" i="3"/>
  <c r="I31" i="3"/>
  <c r="M31" i="3"/>
  <c r="C27" i="3"/>
  <c r="G27" i="3"/>
  <c r="K27" i="3"/>
  <c r="E27" i="3"/>
  <c r="I27" i="3"/>
  <c r="M27" i="3"/>
  <c r="K57" i="3"/>
  <c r="G57" i="3"/>
  <c r="C57" i="3"/>
  <c r="K56" i="3"/>
  <c r="G56" i="3"/>
  <c r="C56" i="3"/>
  <c r="K55" i="3"/>
  <c r="G55" i="3"/>
  <c r="C55" i="3"/>
  <c r="K54" i="3"/>
  <c r="G54" i="3"/>
  <c r="C54" i="3"/>
  <c r="K53" i="3"/>
  <c r="G53" i="3"/>
  <c r="B53" i="3"/>
  <c r="H52" i="3"/>
  <c r="C52" i="3"/>
  <c r="J51" i="3"/>
  <c r="D51" i="3"/>
  <c r="K50" i="3"/>
  <c r="F50" i="3"/>
  <c r="L49" i="3"/>
  <c r="G49" i="3"/>
  <c r="B49" i="3"/>
  <c r="H48" i="3"/>
  <c r="C48" i="3"/>
  <c r="J47" i="3"/>
  <c r="D47" i="3"/>
  <c r="K46" i="3"/>
  <c r="F46" i="3"/>
  <c r="L45" i="3"/>
  <c r="G45" i="3"/>
  <c r="B45" i="3"/>
  <c r="H44" i="3"/>
  <c r="C44" i="3"/>
  <c r="J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L25" i="3"/>
  <c r="C26" i="3"/>
  <c r="G26" i="3"/>
  <c r="K26" i="3"/>
  <c r="E26" i="3"/>
  <c r="I26" i="3"/>
  <c r="M26" i="3"/>
  <c r="J57" i="3"/>
  <c r="F57" i="3"/>
  <c r="B57" i="3"/>
  <c r="J56" i="3"/>
  <c r="F56" i="3"/>
  <c r="B56" i="3"/>
  <c r="J55" i="3"/>
  <c r="F55" i="3"/>
  <c r="B55" i="3"/>
  <c r="J54" i="3"/>
  <c r="F54" i="3"/>
  <c r="B54" i="3"/>
  <c r="J53" i="3"/>
  <c r="F53" i="3"/>
  <c r="L52" i="3"/>
  <c r="G52" i="3"/>
  <c r="B52" i="3"/>
  <c r="H51" i="3"/>
  <c r="C51" i="3"/>
  <c r="J50" i="3"/>
  <c r="K49" i="3"/>
  <c r="L48" i="3"/>
  <c r="G48" i="3"/>
  <c r="B48" i="3"/>
  <c r="H47" i="3"/>
  <c r="C47" i="3"/>
  <c r="J46" i="3"/>
  <c r="D46" i="3"/>
  <c r="K45" i="3"/>
  <c r="F45" i="3"/>
  <c r="L44" i="3"/>
  <c r="G44" i="3"/>
  <c r="B44" i="3"/>
  <c r="H43" i="3"/>
  <c r="B43" i="3"/>
  <c r="J41" i="3"/>
  <c r="B41" i="3"/>
  <c r="F40" i="3"/>
  <c r="J39" i="3"/>
  <c r="B39" i="3"/>
  <c r="F38" i="3"/>
  <c r="J37" i="3"/>
  <c r="B37" i="3"/>
  <c r="F36" i="3"/>
  <c r="J35" i="3"/>
  <c r="B35" i="3"/>
  <c r="J33" i="3"/>
  <c r="F32" i="3"/>
  <c r="J31" i="3"/>
  <c r="B31" i="3"/>
  <c r="F30" i="3"/>
  <c r="J29" i="3"/>
  <c r="F28" i="3"/>
  <c r="J27" i="3"/>
  <c r="B27" i="3"/>
  <c r="F26" i="3"/>
  <c r="B25" i="3"/>
  <c r="C25" i="3"/>
  <c r="G25" i="3"/>
  <c r="K25" i="3"/>
  <c r="D25" i="3"/>
  <c r="E25" i="3"/>
  <c r="I25" i="3"/>
  <c r="M25" i="3"/>
  <c r="E50" i="3"/>
  <c r="I50" i="3"/>
  <c r="M50" i="3"/>
  <c r="C42" i="3"/>
  <c r="G42" i="3"/>
  <c r="K42" i="3"/>
  <c r="E42" i="3"/>
  <c r="I42" i="3"/>
  <c r="M42" i="3"/>
  <c r="C34" i="3"/>
  <c r="G34" i="3"/>
  <c r="K34" i="3"/>
  <c r="E34" i="3"/>
  <c r="I34" i="3"/>
  <c r="M34" i="3"/>
  <c r="E49" i="3"/>
  <c r="I49" i="3"/>
  <c r="M49" i="3"/>
  <c r="C33" i="3"/>
  <c r="G33" i="3"/>
  <c r="K33" i="3"/>
  <c r="E33" i="3"/>
  <c r="I33" i="3"/>
  <c r="M33" i="3"/>
  <c r="C29" i="3"/>
  <c r="G29" i="3"/>
  <c r="K29" i="3"/>
  <c r="E29" i="3"/>
  <c r="I29" i="3"/>
  <c r="M29" i="3"/>
  <c r="M57" i="3"/>
  <c r="I57" i="3"/>
  <c r="E57" i="3"/>
  <c r="M56" i="3"/>
  <c r="I56" i="3"/>
  <c r="E56" i="3"/>
  <c r="M55" i="3"/>
  <c r="I55" i="3"/>
  <c r="E55" i="3"/>
  <c r="M54" i="3"/>
  <c r="I54" i="3"/>
  <c r="E54" i="3"/>
  <c r="M53" i="3"/>
  <c r="I53" i="3"/>
  <c r="D53" i="3"/>
  <c r="K52" i="3"/>
  <c r="L51" i="3"/>
  <c r="G51" i="3"/>
  <c r="B51" i="3"/>
  <c r="H50" i="3"/>
  <c r="C50" i="3"/>
  <c r="J49" i="3"/>
  <c r="D49" i="3"/>
  <c r="K48" i="3"/>
  <c r="L47" i="3"/>
  <c r="G47" i="3"/>
  <c r="B47" i="3"/>
  <c r="H46" i="3"/>
  <c r="C46" i="3"/>
  <c r="J45" i="3"/>
  <c r="D45" i="3"/>
  <c r="K44" i="3"/>
  <c r="L43" i="3"/>
  <c r="G43" i="3"/>
  <c r="L42" i="3"/>
  <c r="D42" i="3"/>
  <c r="L40" i="3"/>
  <c r="H39" i="3"/>
  <c r="L38" i="3"/>
  <c r="D38" i="3"/>
  <c r="L36" i="3"/>
  <c r="H35" i="3"/>
  <c r="L34" i="3"/>
  <c r="D34" i="3"/>
  <c r="H33" i="3"/>
  <c r="L32" i="3"/>
  <c r="H31" i="3"/>
  <c r="L30" i="3"/>
  <c r="D30" i="3"/>
  <c r="H29" i="3"/>
  <c r="L28" i="3"/>
  <c r="H27" i="3"/>
  <c r="L26" i="3"/>
  <c r="D26" i="3"/>
  <c r="H25" i="3"/>
  <c r="C41" i="3"/>
  <c r="G41" i="3"/>
  <c r="K41" i="3"/>
  <c r="E41" i="3"/>
  <c r="I41" i="3"/>
  <c r="M41" i="3"/>
  <c r="C37" i="3"/>
  <c r="G37" i="3"/>
  <c r="K37" i="3"/>
  <c r="E37" i="3"/>
  <c r="I37" i="3"/>
  <c r="M37" i="3"/>
  <c r="E52" i="3"/>
  <c r="I52" i="3"/>
  <c r="M52" i="3"/>
  <c r="E48" i="3"/>
  <c r="I48" i="3"/>
  <c r="M48" i="3"/>
  <c r="E44" i="3"/>
  <c r="I44" i="3"/>
  <c r="M44" i="3"/>
  <c r="C40" i="3"/>
  <c r="G40" i="3"/>
  <c r="K40" i="3"/>
  <c r="E40" i="3"/>
  <c r="I40" i="3"/>
  <c r="M40" i="3"/>
  <c r="C36" i="3"/>
  <c r="G36" i="3"/>
  <c r="K36" i="3"/>
  <c r="E36" i="3"/>
  <c r="I36" i="3"/>
  <c r="M36" i="3"/>
  <c r="C32" i="3"/>
  <c r="G32" i="3"/>
  <c r="K32" i="3"/>
  <c r="E32" i="3"/>
  <c r="I32" i="3"/>
  <c r="M32" i="3"/>
  <c r="C28" i="3"/>
  <c r="G28" i="3"/>
  <c r="K28" i="3"/>
  <c r="E28" i="3"/>
  <c r="I28" i="3"/>
  <c r="M28" i="3"/>
  <c r="L57" i="3"/>
  <c r="H57" i="3"/>
  <c r="L56" i="3"/>
  <c r="H56" i="3"/>
  <c r="L55" i="3"/>
  <c r="H55" i="3"/>
  <c r="L54" i="3"/>
  <c r="H54" i="3"/>
  <c r="L53" i="3"/>
  <c r="H53" i="3"/>
  <c r="C53" i="3"/>
  <c r="J52" i="3"/>
  <c r="D52" i="3"/>
  <c r="K51" i="3"/>
  <c r="F51" i="3"/>
  <c r="L50" i="3"/>
  <c r="G50" i="3"/>
  <c r="B50" i="3"/>
  <c r="H49" i="3"/>
  <c r="C49" i="3"/>
  <c r="J48" i="3"/>
  <c r="D48" i="3"/>
  <c r="K47" i="3"/>
  <c r="F47" i="3"/>
  <c r="L46" i="3"/>
  <c r="G46" i="3"/>
  <c r="B46" i="3"/>
  <c r="H45" i="3"/>
  <c r="C45" i="3"/>
  <c r="J44" i="3"/>
  <c r="D44" i="3"/>
  <c r="K43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</calcChain>
</file>

<file path=xl/sharedStrings.xml><?xml version="1.0" encoding="utf-8"?>
<sst xmlns="http://schemas.openxmlformats.org/spreadsheetml/2006/main" count="76" uniqueCount="41">
  <si>
    <t>Entidad</t>
  </si>
  <si>
    <t> Casos por cada 100 mil habitantes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</si>
  <si>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</si>
  <si>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</si>
  <si>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</si>
  <si>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</si>
  <si>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</si>
  <si>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</si>
  <si>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</si>
  <si>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</si>
  <si>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</si>
  <si>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</si>
  <si>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</si>
  <si>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</si>
  <si>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</si>
  <si>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</si>
  <si>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</si>
  <si>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</si>
  <si>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</si>
  <si>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</si>
  <si>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</si>
  <si>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</si>
  <si>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</si>
  <si>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</si>
  <si>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</si>
  <si>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</si>
  <si>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</si>
  <si>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</si>
  <si>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</si>
  <si>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</si>
  <si>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</si>
  <si>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</si>
  <si>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</si>
  <si>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</si>
  <si>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</si>
  <si>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TOTAL</t>
  </si>
  <si>
    <t>TASA DE INCIDENCIA DELICTIVA</t>
  </si>
  <si>
    <t>INCIDENCIA DELICTIVA</t>
  </si>
  <si>
    <t>TASA DE DESEMPLEO</t>
  </si>
  <si>
    <t>AÑO</t>
  </si>
  <si>
    <t>DESEMPLEO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</si>
</sst>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0"/>
      <color rgb="FF333333"/>
      <name val="Inherit"/>
    </font>
    <font>
      <sz val="10"/>
      <color rgb="FF3B3E40"/>
      <name val="Inherit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C6C6C6"/>
      </right>
      <top style="medium">
        <color rgb="FFE0E0E0"/>
      </top>
      <bottom style="medium">
        <color rgb="FFE0E0E0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164" fontId="0" fillId="0" borderId="0" xfId="0" applyNumberFormat="1" applyAlignment="1">
      <alignment horizontal="center"/>
    </xf>
    <xf numFmtId="0" fontId="3" fillId="5" borderId="7" xfId="0" applyFont="1" applyFill="1" applyBorder="1" applyAlignment="1">
      <alignment horizontal="left" vertical="center" indent="1"/>
    </xf>
    <xf numFmtId="0" fontId="4" fillId="2" borderId="7" xfId="0" applyFont="1" applyFill="1" applyBorder="1" applyAlignment="1">
      <alignment horizontal="left" vertical="center" indent="1"/>
    </xf>
    <xf numFmtId="0" fontId="3" fillId="5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3" fontId="2" fillId="4" borderId="1" xfId="0" applyNumberFormat="1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'incidencia vs desempleo'!$C$1</c:f>
              <c:strCache>
                <c:ptCount val="1"/>
                <c:pt idx="0">
                  <c:v>TASA DE DESEMPLEO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32742782152231"/>
                  <c:y val="0.24738918051910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'incidencia vs desempleo'!$B$2:$B$14</c:f>
              <c:numCache>
                <c:formatCode>General</c:formatCode>
                <c:ptCount val="13"/>
                <c:pt idx="0">
                  <c:v>30535</c:v>
                </c:pt>
                <c:pt idx="2">
                  <c:v>29200</c:v>
                </c:pt>
                <c:pt idx="3">
                  <c:v>35139</c:v>
                </c:pt>
                <c:pt idx="4">
                  <c:v>41563</c:v>
                </c:pt>
                <c:pt idx="5">
                  <c:v>41655</c:v>
                </c:pt>
                <c:pt idx="6">
                  <c:v>35497</c:v>
                </c:pt>
                <c:pt idx="7">
                  <c:v>37017</c:v>
                </c:pt>
                <c:pt idx="8">
                  <c:v>39369</c:v>
                </c:pt>
                <c:pt idx="9">
                  <c:v>37807</c:v>
                </c:pt>
                <c:pt idx="10">
                  <c:v>33659</c:v>
                </c:pt>
                <c:pt idx="11">
                  <c:v>30601</c:v>
                </c:pt>
                <c:pt idx="12">
                  <c:v>30786</c:v>
                </c:pt>
              </c:numCache>
            </c:numRef>
          </c:xVal>
          <c:yVal>
            <c:numRef>
              <c:f>'incidencia vs desempleo'!$C$2:$C$14</c:f>
              <c:numCache>
                <c:formatCode>General</c:formatCode>
                <c:ptCount val="13"/>
                <c:pt idx="0">
                  <c:v>5.0999999999999996</c:v>
                </c:pt>
                <c:pt idx="2">
                  <c:v>5.3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4.5999999999999996</c:v>
                </c:pt>
                <c:pt idx="6">
                  <c:v>4.2</c:v>
                </c:pt>
                <c:pt idx="7">
                  <c:v>3.9</c:v>
                </c:pt>
                <c:pt idx="8">
                  <c:v>3.4</c:v>
                </c:pt>
                <c:pt idx="9">
                  <c:v>3.6</c:v>
                </c:pt>
                <c:pt idx="10">
                  <c:v>3.1</c:v>
                </c:pt>
                <c:pt idx="11">
                  <c:v>4.5</c:v>
                </c:pt>
                <c:pt idx="12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C-4722-9EED-A038B2A52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913103"/>
        <c:axId val="1306910223"/>
      </c:scatterChart>
      <c:valAx>
        <c:axId val="130691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6910223"/>
        <c:crosses val="autoZero"/>
        <c:crossBetween val="midCat"/>
      </c:valAx>
      <c:valAx>
        <c:axId val="13069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691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5</xdr:row>
      <xdr:rowOff>80962</xdr:rowOff>
    </xdr:from>
    <xdr:to>
      <xdr:col>16</xdr:col>
      <xdr:colOff>257175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E2AE9-D066-4122-A8F9-63D9B4304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5523-0E83-435E-9153-2E69C09BBB80}">
  <dimension ref="A1:AD35"/>
  <sheetViews>
    <sheetView workbookViewId="0">
      <selection activeCell="N7" sqref="N7"/>
    </sheetView>
  </sheetViews>
  <sheetFormatPr baseColWidth="10" defaultRowHeight="15"/>
  <cols>
    <col min="1" max="1" width="27.85546875" customWidth="1"/>
    <col min="16" max="16" width="27.42578125" customWidth="1"/>
  </cols>
  <sheetData>
    <row r="1" spans="1:30" ht="15.75" customHeight="1" thickBot="1">
      <c r="A1" s="14" t="s">
        <v>0</v>
      </c>
      <c r="B1" s="16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30" ht="15.75" thickBot="1">
      <c r="A2" s="15"/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 t="s">
        <v>35</v>
      </c>
    </row>
    <row r="3" spans="1:30" ht="15.75" thickBot="1">
      <c r="A3" s="2" t="s">
        <v>2</v>
      </c>
      <c r="B3" s="12">
        <v>30535</v>
      </c>
      <c r="C3" s="12">
        <v>29200</v>
      </c>
      <c r="D3" s="12">
        <v>35139</v>
      </c>
      <c r="E3" s="12">
        <v>41563</v>
      </c>
      <c r="F3" s="12">
        <v>41655</v>
      </c>
      <c r="G3" s="12">
        <v>35497</v>
      </c>
      <c r="H3" s="12">
        <v>37017</v>
      </c>
      <c r="I3" s="12">
        <v>39369</v>
      </c>
      <c r="J3" s="12">
        <v>37807</v>
      </c>
      <c r="K3" s="12">
        <v>33659</v>
      </c>
      <c r="L3" s="12">
        <v>30601</v>
      </c>
      <c r="M3" s="12">
        <v>30786</v>
      </c>
      <c r="N3" s="12">
        <f t="shared" ref="N3:N35" si="0">SUM(B3:M3)</f>
        <v>422828</v>
      </c>
      <c r="AD3" s="5">
        <v>7.2</v>
      </c>
    </row>
    <row r="4" spans="1:30" ht="15.75" thickBot="1">
      <c r="A4" s="4" t="s">
        <v>3</v>
      </c>
      <c r="B4" s="13">
        <v>56089</v>
      </c>
      <c r="C4" s="13">
        <v>25511</v>
      </c>
      <c r="D4" s="13">
        <v>32368</v>
      </c>
      <c r="E4" s="13">
        <v>24711</v>
      </c>
      <c r="F4" s="13">
        <v>39453</v>
      </c>
      <c r="G4" s="13">
        <v>35457</v>
      </c>
      <c r="H4" s="13">
        <v>41254</v>
      </c>
      <c r="I4" s="13">
        <v>39912</v>
      </c>
      <c r="J4" s="13">
        <v>36500</v>
      </c>
      <c r="K4" s="13">
        <v>48443</v>
      </c>
      <c r="L4" s="13">
        <v>29984</v>
      </c>
      <c r="M4" s="13">
        <v>29584</v>
      </c>
      <c r="N4" s="13">
        <f t="shared" si="0"/>
        <v>439266</v>
      </c>
      <c r="AD4" s="5">
        <v>6.9</v>
      </c>
    </row>
    <row r="5" spans="1:30" ht="15.75" thickBot="1">
      <c r="A5" s="2" t="s">
        <v>4</v>
      </c>
      <c r="B5" s="12">
        <v>31791</v>
      </c>
      <c r="C5" s="12">
        <v>29446</v>
      </c>
      <c r="D5" s="12">
        <v>39297</v>
      </c>
      <c r="E5" s="12">
        <v>57066</v>
      </c>
      <c r="F5" s="12">
        <v>56632</v>
      </c>
      <c r="G5" s="12">
        <v>32758</v>
      </c>
      <c r="H5" s="12">
        <v>51286</v>
      </c>
      <c r="I5" s="12">
        <v>43921</v>
      </c>
      <c r="J5" s="12">
        <v>42725</v>
      </c>
      <c r="K5" s="12">
        <v>35655</v>
      </c>
      <c r="L5" s="12">
        <v>27377</v>
      </c>
      <c r="M5" s="12">
        <v>31690</v>
      </c>
      <c r="N5" s="12">
        <f t="shared" si="0"/>
        <v>479644</v>
      </c>
      <c r="AD5" s="5">
        <v>8.3000000000000007</v>
      </c>
    </row>
    <row r="6" spans="1:30" ht="15.75" thickBot="1">
      <c r="A6" s="4" t="s">
        <v>5</v>
      </c>
      <c r="B6" s="13">
        <v>25779</v>
      </c>
      <c r="C6" s="13">
        <v>28884</v>
      </c>
      <c r="D6" s="13">
        <v>31049</v>
      </c>
      <c r="E6" s="13">
        <v>23747</v>
      </c>
      <c r="F6" s="13">
        <v>34700</v>
      </c>
      <c r="G6" s="13">
        <v>25577</v>
      </c>
      <c r="H6" s="13">
        <v>29939</v>
      </c>
      <c r="I6" s="13">
        <v>25690</v>
      </c>
      <c r="J6" s="13">
        <v>28377</v>
      </c>
      <c r="K6" s="13">
        <v>18887</v>
      </c>
      <c r="L6" s="13">
        <v>22739</v>
      </c>
      <c r="M6" s="13">
        <v>21756</v>
      </c>
      <c r="N6" s="13">
        <f t="shared" si="0"/>
        <v>317124</v>
      </c>
      <c r="AD6" s="5">
        <v>9.8000000000000007</v>
      </c>
    </row>
    <row r="7" spans="1:30" ht="15.75" thickBot="1">
      <c r="A7" s="2" t="s">
        <v>6</v>
      </c>
      <c r="B7" s="12">
        <v>20922</v>
      </c>
      <c r="C7" s="12">
        <v>21704</v>
      </c>
      <c r="D7" s="12">
        <v>29097</v>
      </c>
      <c r="E7" s="12">
        <v>30597</v>
      </c>
      <c r="F7" s="12">
        <v>29306</v>
      </c>
      <c r="G7" s="12">
        <v>22114</v>
      </c>
      <c r="H7" s="12">
        <v>28892</v>
      </c>
      <c r="I7" s="12">
        <v>28283</v>
      </c>
      <c r="J7" s="12">
        <v>26466</v>
      </c>
      <c r="K7" s="12">
        <v>18595</v>
      </c>
      <c r="L7" s="12">
        <v>25390</v>
      </c>
      <c r="M7" s="12">
        <v>18610</v>
      </c>
      <c r="N7" s="12">
        <f t="shared" si="0"/>
        <v>299976</v>
      </c>
      <c r="AD7" s="5">
        <v>9.9</v>
      </c>
    </row>
    <row r="8" spans="1:30" ht="15.75" thickBot="1">
      <c r="A8" s="4" t="s">
        <v>7</v>
      </c>
      <c r="B8" s="13">
        <v>29279</v>
      </c>
      <c r="C8" s="13">
        <v>26558</v>
      </c>
      <c r="D8" s="13">
        <v>17870</v>
      </c>
      <c r="E8" s="13">
        <v>25451</v>
      </c>
      <c r="F8" s="13">
        <v>18318</v>
      </c>
      <c r="G8" s="13">
        <v>24800</v>
      </c>
      <c r="H8" s="13">
        <v>25215</v>
      </c>
      <c r="I8" s="13">
        <v>25299</v>
      </c>
      <c r="J8" s="13">
        <v>24813</v>
      </c>
      <c r="K8" s="13">
        <v>21896</v>
      </c>
      <c r="L8" s="13">
        <v>26383</v>
      </c>
      <c r="M8" s="13">
        <v>24418</v>
      </c>
      <c r="N8" s="13">
        <f t="shared" si="0"/>
        <v>290300</v>
      </c>
      <c r="AD8" s="5">
        <v>8.4</v>
      </c>
    </row>
    <row r="9" spans="1:30" ht="15.75" thickBot="1">
      <c r="A9" s="2" t="s">
        <v>8</v>
      </c>
      <c r="B9" s="12">
        <v>17343</v>
      </c>
      <c r="C9" s="12">
        <v>22287</v>
      </c>
      <c r="D9" s="12">
        <v>25169</v>
      </c>
      <c r="E9" s="12">
        <v>26309</v>
      </c>
      <c r="F9" s="12">
        <v>30535</v>
      </c>
      <c r="G9" s="12">
        <v>27045</v>
      </c>
      <c r="H9" s="12">
        <v>29449</v>
      </c>
      <c r="I9" s="12">
        <v>27074</v>
      </c>
      <c r="J9" s="12">
        <v>28376</v>
      </c>
      <c r="K9" s="12">
        <v>29280</v>
      </c>
      <c r="L9" s="12">
        <v>26793</v>
      </c>
      <c r="M9" s="12">
        <v>26565</v>
      </c>
      <c r="N9" s="12">
        <f t="shared" si="0"/>
        <v>316225</v>
      </c>
      <c r="AD9" s="5">
        <v>8.8000000000000007</v>
      </c>
    </row>
    <row r="10" spans="1:30" ht="15.75" thickBot="1">
      <c r="A10" s="4" t="s">
        <v>9</v>
      </c>
      <c r="B10" s="13">
        <v>15028</v>
      </c>
      <c r="C10" s="13">
        <v>13663</v>
      </c>
      <c r="D10" s="13">
        <v>12827</v>
      </c>
      <c r="E10" s="13">
        <v>19215</v>
      </c>
      <c r="F10" s="13">
        <v>19160</v>
      </c>
      <c r="G10" s="13">
        <v>16687</v>
      </c>
      <c r="H10" s="13">
        <v>20055</v>
      </c>
      <c r="I10" s="13">
        <v>20464</v>
      </c>
      <c r="J10" s="13">
        <v>19409</v>
      </c>
      <c r="K10" s="13">
        <v>13903</v>
      </c>
      <c r="L10" s="13">
        <v>15689</v>
      </c>
      <c r="M10" s="13">
        <v>16386</v>
      </c>
      <c r="N10" s="13">
        <f t="shared" si="0"/>
        <v>202486</v>
      </c>
      <c r="AD10" s="5">
        <v>9.3000000000000007</v>
      </c>
    </row>
    <row r="11" spans="1:30" ht="15.75" thickBot="1">
      <c r="A11" s="2" t="s">
        <v>10</v>
      </c>
      <c r="B11" s="12">
        <v>41903</v>
      </c>
      <c r="C11" s="12">
        <v>30562</v>
      </c>
      <c r="D11" s="12">
        <v>35952</v>
      </c>
      <c r="E11" s="12">
        <v>31669</v>
      </c>
      <c r="F11" s="12">
        <v>24295</v>
      </c>
      <c r="G11" s="12">
        <v>31274</v>
      </c>
      <c r="H11" s="12">
        <v>34920</v>
      </c>
      <c r="I11" s="12">
        <v>28857</v>
      </c>
      <c r="J11" s="12">
        <v>28622</v>
      </c>
      <c r="K11" s="12">
        <v>23133</v>
      </c>
      <c r="L11" s="12">
        <v>25690</v>
      </c>
      <c r="M11" s="12">
        <v>26432</v>
      </c>
      <c r="N11" s="12">
        <f t="shared" si="0"/>
        <v>363309</v>
      </c>
      <c r="AD11" s="5">
        <v>8.9</v>
      </c>
    </row>
    <row r="12" spans="1:30" ht="15.75" thickBot="1">
      <c r="A12" s="4" t="s">
        <v>11</v>
      </c>
      <c r="B12" s="13">
        <v>44055</v>
      </c>
      <c r="C12" s="13">
        <v>40790</v>
      </c>
      <c r="D12" s="13">
        <v>49198</v>
      </c>
      <c r="E12" s="13">
        <v>51786</v>
      </c>
      <c r="F12" s="13">
        <v>59545</v>
      </c>
      <c r="G12" s="13">
        <v>52718</v>
      </c>
      <c r="H12" s="13">
        <v>49913</v>
      </c>
      <c r="I12" s="13">
        <v>68954</v>
      </c>
      <c r="J12" s="13">
        <v>69716</v>
      </c>
      <c r="K12" s="13">
        <v>62008</v>
      </c>
      <c r="L12" s="13">
        <v>53334</v>
      </c>
      <c r="M12" s="13">
        <v>45336</v>
      </c>
      <c r="N12" s="13">
        <f t="shared" si="0"/>
        <v>647353</v>
      </c>
      <c r="AD12" s="5">
        <v>8</v>
      </c>
    </row>
    <row r="13" spans="1:30" ht="15.75" thickBot="1">
      <c r="A13" s="2" t="s">
        <v>12</v>
      </c>
      <c r="B13" s="12">
        <v>23803</v>
      </c>
      <c r="C13" s="12">
        <v>21540</v>
      </c>
      <c r="D13" s="12">
        <v>27631</v>
      </c>
      <c r="E13" s="12">
        <v>22512</v>
      </c>
      <c r="F13" s="12">
        <v>30080</v>
      </c>
      <c r="G13" s="12">
        <v>25640</v>
      </c>
      <c r="H13" s="12">
        <v>23283</v>
      </c>
      <c r="I13" s="12">
        <v>22566</v>
      </c>
      <c r="J13" s="12">
        <v>22586</v>
      </c>
      <c r="K13" s="12">
        <v>21373</v>
      </c>
      <c r="L13" s="12">
        <v>22970</v>
      </c>
      <c r="M13" s="12">
        <v>17387</v>
      </c>
      <c r="N13" s="12">
        <f t="shared" si="0"/>
        <v>281371</v>
      </c>
      <c r="AD13" s="5">
        <v>7.2</v>
      </c>
    </row>
    <row r="14" spans="1:30" ht="15.75" thickBot="1">
      <c r="A14" s="4" t="s">
        <v>13</v>
      </c>
      <c r="B14" s="13">
        <v>23365</v>
      </c>
      <c r="C14" s="13">
        <v>26705</v>
      </c>
      <c r="D14" s="13">
        <v>34391</v>
      </c>
      <c r="E14" s="13">
        <v>34110</v>
      </c>
      <c r="F14" s="13">
        <v>40737</v>
      </c>
      <c r="G14" s="13">
        <v>33154</v>
      </c>
      <c r="H14" s="13">
        <v>33384</v>
      </c>
      <c r="I14" s="13">
        <v>29231</v>
      </c>
      <c r="J14" s="13">
        <v>38067</v>
      </c>
      <c r="K14" s="13">
        <v>50894</v>
      </c>
      <c r="L14" s="13">
        <v>29106</v>
      </c>
      <c r="M14" s="13">
        <v>29936</v>
      </c>
      <c r="N14" s="13">
        <f t="shared" si="0"/>
        <v>403080</v>
      </c>
      <c r="AD14" s="5">
        <v>7.3</v>
      </c>
    </row>
    <row r="15" spans="1:30" ht="15.75" thickBot="1">
      <c r="A15" s="2" t="s">
        <v>14</v>
      </c>
      <c r="B15" s="12">
        <v>33467</v>
      </c>
      <c r="C15" s="12">
        <v>27040</v>
      </c>
      <c r="D15" s="12">
        <v>33762</v>
      </c>
      <c r="E15" s="12">
        <v>35366</v>
      </c>
      <c r="F15" s="12">
        <v>42690</v>
      </c>
      <c r="G15" s="12">
        <v>53875</v>
      </c>
      <c r="H15" s="12">
        <v>47392</v>
      </c>
      <c r="I15" s="12">
        <v>45006</v>
      </c>
      <c r="J15" s="12">
        <v>43051</v>
      </c>
      <c r="K15" s="12">
        <v>30864</v>
      </c>
      <c r="L15" s="12">
        <v>30769</v>
      </c>
      <c r="M15" s="12">
        <v>26481</v>
      </c>
      <c r="N15" s="12">
        <f t="shared" si="0"/>
        <v>449763</v>
      </c>
    </row>
    <row r="16" spans="1:30" ht="15.75" thickBot="1">
      <c r="A16" s="4" t="s">
        <v>15</v>
      </c>
      <c r="B16" s="13">
        <v>22662</v>
      </c>
      <c r="C16" s="13">
        <v>25106</v>
      </c>
      <c r="D16" s="13">
        <v>21874</v>
      </c>
      <c r="E16" s="13">
        <v>23468</v>
      </c>
      <c r="F16" s="13">
        <v>23211</v>
      </c>
      <c r="G16" s="13">
        <v>21159</v>
      </c>
      <c r="H16" s="13">
        <v>23564</v>
      </c>
      <c r="I16" s="13">
        <v>22135</v>
      </c>
      <c r="J16" s="13">
        <v>25987</v>
      </c>
      <c r="K16" s="13">
        <v>20732</v>
      </c>
      <c r="L16" s="13">
        <v>23605</v>
      </c>
      <c r="M16" s="13">
        <v>19205</v>
      </c>
      <c r="N16" s="13">
        <f t="shared" si="0"/>
        <v>272708</v>
      </c>
    </row>
    <row r="17" spans="1:14" ht="15.75" thickBot="1">
      <c r="A17" s="2" t="s">
        <v>16</v>
      </c>
      <c r="B17" s="12">
        <v>32980</v>
      </c>
      <c r="C17" s="12">
        <v>29351</v>
      </c>
      <c r="D17" s="12">
        <v>49083</v>
      </c>
      <c r="E17" s="12">
        <v>47278</v>
      </c>
      <c r="F17" s="12">
        <v>43076</v>
      </c>
      <c r="G17" s="12">
        <v>49317</v>
      </c>
      <c r="H17" s="12">
        <v>41874</v>
      </c>
      <c r="I17" s="12">
        <v>43023</v>
      </c>
      <c r="J17" s="12">
        <v>40543</v>
      </c>
      <c r="K17" s="12">
        <v>34703</v>
      </c>
      <c r="L17" s="12">
        <v>33248</v>
      </c>
      <c r="M17" s="12">
        <v>31944</v>
      </c>
      <c r="N17" s="12">
        <f t="shared" si="0"/>
        <v>476420</v>
      </c>
    </row>
    <row r="18" spans="1:14" ht="15.75" thickBot="1">
      <c r="A18" s="4" t="s">
        <v>17</v>
      </c>
      <c r="B18" s="13">
        <v>32958</v>
      </c>
      <c r="C18" s="13">
        <v>40416</v>
      </c>
      <c r="D18" s="13">
        <v>56752</v>
      </c>
      <c r="E18" s="13">
        <v>93003</v>
      </c>
      <c r="F18" s="13">
        <v>83566</v>
      </c>
      <c r="G18" s="13">
        <v>56835</v>
      </c>
      <c r="H18" s="13">
        <v>62751</v>
      </c>
      <c r="I18" s="13">
        <v>65381</v>
      </c>
      <c r="J18" s="13">
        <v>51520</v>
      </c>
      <c r="K18" s="13">
        <v>48916</v>
      </c>
      <c r="L18" s="13">
        <v>39539</v>
      </c>
      <c r="M18" s="13">
        <v>45501</v>
      </c>
      <c r="N18" s="13">
        <f t="shared" si="0"/>
        <v>677138</v>
      </c>
    </row>
    <row r="19" spans="1:14" ht="15.75" thickBot="1">
      <c r="A19" s="2" t="s">
        <v>18</v>
      </c>
      <c r="B19" s="12">
        <v>15469</v>
      </c>
      <c r="C19" s="12">
        <v>24346</v>
      </c>
      <c r="D19" s="12">
        <v>24362</v>
      </c>
      <c r="E19" s="12">
        <v>25126</v>
      </c>
      <c r="F19" s="12">
        <v>26340</v>
      </c>
      <c r="G19" s="12">
        <v>23876</v>
      </c>
      <c r="H19" s="12">
        <v>26366</v>
      </c>
      <c r="I19" s="12">
        <v>22624</v>
      </c>
      <c r="J19" s="12">
        <v>22999</v>
      </c>
      <c r="K19" s="12">
        <v>20414</v>
      </c>
      <c r="L19" s="12">
        <v>21521</v>
      </c>
      <c r="M19" s="12">
        <v>18102</v>
      </c>
      <c r="N19" s="12">
        <f t="shared" si="0"/>
        <v>271545</v>
      </c>
    </row>
    <row r="20" spans="1:14" ht="15.75" thickBot="1">
      <c r="A20" s="4" t="s">
        <v>19</v>
      </c>
      <c r="B20" s="13">
        <v>28491</v>
      </c>
      <c r="C20" s="13">
        <v>25775</v>
      </c>
      <c r="D20" s="13">
        <v>35750</v>
      </c>
      <c r="E20" s="13">
        <v>36524</v>
      </c>
      <c r="F20" s="13">
        <v>43584</v>
      </c>
      <c r="G20" s="13">
        <v>43419</v>
      </c>
      <c r="H20" s="13">
        <v>43749</v>
      </c>
      <c r="I20" s="13">
        <v>48528</v>
      </c>
      <c r="J20" s="13">
        <v>45312</v>
      </c>
      <c r="K20" s="13">
        <v>40298</v>
      </c>
      <c r="L20" s="13">
        <v>35794</v>
      </c>
      <c r="M20" s="13">
        <v>32059</v>
      </c>
      <c r="N20" s="13">
        <f t="shared" si="0"/>
        <v>459283</v>
      </c>
    </row>
    <row r="21" spans="1:14" ht="15.75" thickBot="1">
      <c r="A21" s="2" t="s">
        <v>20</v>
      </c>
      <c r="B21" s="12">
        <v>31741</v>
      </c>
      <c r="C21" s="12">
        <v>28751</v>
      </c>
      <c r="D21" s="12">
        <v>26006</v>
      </c>
      <c r="E21" s="12">
        <v>26609</v>
      </c>
      <c r="F21" s="12">
        <v>32936</v>
      </c>
      <c r="G21" s="12">
        <v>21288</v>
      </c>
      <c r="H21" s="12">
        <v>26260</v>
      </c>
      <c r="I21" s="12">
        <v>33105</v>
      </c>
      <c r="J21" s="12">
        <v>23670</v>
      </c>
      <c r="K21" s="12">
        <v>18214</v>
      </c>
      <c r="L21" s="12">
        <v>22099</v>
      </c>
      <c r="M21" s="12">
        <v>21214</v>
      </c>
      <c r="N21" s="12">
        <f t="shared" si="0"/>
        <v>311893</v>
      </c>
    </row>
    <row r="22" spans="1:14" ht="15.75" thickBot="1">
      <c r="A22" s="4" t="s">
        <v>21</v>
      </c>
      <c r="B22" s="13">
        <v>38136</v>
      </c>
      <c r="C22" s="13">
        <v>28516</v>
      </c>
      <c r="D22" s="13">
        <v>37076</v>
      </c>
      <c r="E22" s="13">
        <v>32552</v>
      </c>
      <c r="F22" s="13">
        <v>28720</v>
      </c>
      <c r="G22" s="13">
        <v>26221</v>
      </c>
      <c r="H22" s="13">
        <v>32819</v>
      </c>
      <c r="I22" s="13">
        <v>32407</v>
      </c>
      <c r="J22" s="13">
        <v>27805</v>
      </c>
      <c r="K22" s="13">
        <v>28319</v>
      </c>
      <c r="L22" s="13">
        <v>29064</v>
      </c>
      <c r="M22" s="13">
        <v>34099</v>
      </c>
      <c r="N22" s="13">
        <f t="shared" si="0"/>
        <v>375734</v>
      </c>
    </row>
    <row r="23" spans="1:14" ht="15.75" thickBot="1">
      <c r="A23" s="2" t="s">
        <v>22</v>
      </c>
      <c r="B23" s="12">
        <v>25193</v>
      </c>
      <c r="C23" s="12">
        <v>20991</v>
      </c>
      <c r="D23" s="12">
        <v>18009</v>
      </c>
      <c r="E23" s="12">
        <v>20749</v>
      </c>
      <c r="F23" s="12">
        <v>29073</v>
      </c>
      <c r="G23" s="12">
        <v>24961</v>
      </c>
      <c r="H23" s="12">
        <v>27897</v>
      </c>
      <c r="I23" s="12">
        <v>22152</v>
      </c>
      <c r="J23" s="12">
        <v>26221</v>
      </c>
      <c r="K23" s="12">
        <v>22069</v>
      </c>
      <c r="L23" s="12">
        <v>22060</v>
      </c>
      <c r="M23" s="12">
        <v>18552</v>
      </c>
      <c r="N23" s="12">
        <f t="shared" si="0"/>
        <v>277927</v>
      </c>
    </row>
    <row r="24" spans="1:14" ht="15.75" thickBot="1">
      <c r="A24" s="4" t="s">
        <v>23</v>
      </c>
      <c r="B24" s="13">
        <v>23946</v>
      </c>
      <c r="C24" s="13">
        <v>29350</v>
      </c>
      <c r="D24" s="13">
        <v>27318</v>
      </c>
      <c r="E24" s="13">
        <v>31662</v>
      </c>
      <c r="F24" s="13">
        <v>32690</v>
      </c>
      <c r="G24" s="13">
        <v>27530</v>
      </c>
      <c r="H24" s="13">
        <v>31331</v>
      </c>
      <c r="I24" s="13">
        <v>42343</v>
      </c>
      <c r="J24" s="13">
        <v>37647</v>
      </c>
      <c r="K24" s="13">
        <v>33014</v>
      </c>
      <c r="L24" s="13">
        <v>31685</v>
      </c>
      <c r="M24" s="13">
        <v>36234</v>
      </c>
      <c r="N24" s="13">
        <f t="shared" si="0"/>
        <v>384750</v>
      </c>
    </row>
    <row r="25" spans="1:14" ht="15.75" thickBot="1">
      <c r="A25" s="2" t="s">
        <v>24</v>
      </c>
      <c r="B25" s="12">
        <v>19516</v>
      </c>
      <c r="C25" s="12">
        <v>22860</v>
      </c>
      <c r="D25" s="12">
        <v>27197</v>
      </c>
      <c r="E25" s="12">
        <v>27975</v>
      </c>
      <c r="F25" s="12">
        <v>31572</v>
      </c>
      <c r="G25" s="12">
        <v>30991</v>
      </c>
      <c r="H25" s="12">
        <v>26860</v>
      </c>
      <c r="I25" s="12">
        <v>35395</v>
      </c>
      <c r="J25" s="12">
        <v>32756</v>
      </c>
      <c r="K25" s="12">
        <v>36034</v>
      </c>
      <c r="L25" s="12">
        <v>31664</v>
      </c>
      <c r="M25" s="12">
        <v>31817</v>
      </c>
      <c r="N25" s="12">
        <f t="shared" si="0"/>
        <v>354637</v>
      </c>
    </row>
    <row r="26" spans="1:14" ht="15.75" thickBot="1">
      <c r="A26" s="4" t="s">
        <v>25</v>
      </c>
      <c r="B26" s="13">
        <v>41093</v>
      </c>
      <c r="C26" s="13">
        <v>37725</v>
      </c>
      <c r="D26" s="13">
        <v>40279</v>
      </c>
      <c r="E26" s="13">
        <v>35245</v>
      </c>
      <c r="F26" s="13">
        <v>41381</v>
      </c>
      <c r="G26" s="13">
        <v>35639</v>
      </c>
      <c r="H26" s="13">
        <v>32862</v>
      </c>
      <c r="I26" s="13">
        <v>33269</v>
      </c>
      <c r="J26" s="13">
        <v>33243</v>
      </c>
      <c r="K26" s="13">
        <v>35535</v>
      </c>
      <c r="L26" s="13">
        <v>33342</v>
      </c>
      <c r="M26" s="13">
        <v>31538</v>
      </c>
      <c r="N26" s="13">
        <f t="shared" si="0"/>
        <v>431151</v>
      </c>
    </row>
    <row r="27" spans="1:14" ht="15.75" thickBot="1">
      <c r="A27" s="2" t="s">
        <v>26</v>
      </c>
      <c r="B27" s="12">
        <v>30827</v>
      </c>
      <c r="C27" s="12">
        <v>33878</v>
      </c>
      <c r="D27" s="12">
        <v>35124</v>
      </c>
      <c r="E27" s="12">
        <v>39558</v>
      </c>
      <c r="F27" s="12">
        <v>41384</v>
      </c>
      <c r="G27" s="12">
        <v>25838</v>
      </c>
      <c r="H27" s="12">
        <v>25867</v>
      </c>
      <c r="I27" s="12">
        <v>31673</v>
      </c>
      <c r="J27" s="12">
        <v>32342</v>
      </c>
      <c r="K27" s="12">
        <v>29384</v>
      </c>
      <c r="L27" s="12">
        <v>32136</v>
      </c>
      <c r="M27" s="12">
        <v>29122</v>
      </c>
      <c r="N27" s="12">
        <f t="shared" si="0"/>
        <v>387133</v>
      </c>
    </row>
    <row r="28" spans="1:14" ht="15.75" thickBot="1">
      <c r="A28" s="4" t="s">
        <v>27</v>
      </c>
      <c r="B28" s="13">
        <v>34254</v>
      </c>
      <c r="C28" s="13">
        <v>29838</v>
      </c>
      <c r="D28" s="13">
        <v>33231</v>
      </c>
      <c r="E28" s="13">
        <v>30287</v>
      </c>
      <c r="F28" s="13">
        <v>29139</v>
      </c>
      <c r="G28" s="13">
        <v>22750</v>
      </c>
      <c r="H28" s="13">
        <v>23257</v>
      </c>
      <c r="I28" s="13">
        <v>28748</v>
      </c>
      <c r="J28" s="13">
        <v>29507</v>
      </c>
      <c r="K28" s="13">
        <v>25945</v>
      </c>
      <c r="L28" s="13">
        <v>22026</v>
      </c>
      <c r="M28" s="13">
        <v>30230</v>
      </c>
      <c r="N28" s="13">
        <f t="shared" si="0"/>
        <v>339212</v>
      </c>
    </row>
    <row r="29" spans="1:14" ht="15.75" thickBot="1">
      <c r="A29" s="2" t="s">
        <v>28</v>
      </c>
      <c r="B29" s="12">
        <v>46774</v>
      </c>
      <c r="C29" s="12">
        <v>39029</v>
      </c>
      <c r="D29" s="12">
        <v>34126</v>
      </c>
      <c r="E29" s="12">
        <v>31155</v>
      </c>
      <c r="F29" s="12">
        <v>26384</v>
      </c>
      <c r="G29" s="12">
        <v>40466</v>
      </c>
      <c r="H29" s="12">
        <v>42624</v>
      </c>
      <c r="I29" s="12">
        <v>39759</v>
      </c>
      <c r="J29" s="12">
        <v>50861</v>
      </c>
      <c r="K29" s="12">
        <v>25646</v>
      </c>
      <c r="L29" s="12">
        <v>33098</v>
      </c>
      <c r="M29" s="12">
        <v>30200</v>
      </c>
      <c r="N29" s="12">
        <f t="shared" si="0"/>
        <v>440122</v>
      </c>
    </row>
    <row r="30" spans="1:14" ht="15.75" thickBot="1">
      <c r="A30" s="4" t="s">
        <v>29</v>
      </c>
      <c r="B30" s="13">
        <v>32185</v>
      </c>
      <c r="C30" s="13">
        <v>21357</v>
      </c>
      <c r="D30" s="13">
        <v>24368</v>
      </c>
      <c r="E30" s="13">
        <v>32037</v>
      </c>
      <c r="F30" s="13">
        <v>29508</v>
      </c>
      <c r="G30" s="13">
        <v>30409</v>
      </c>
      <c r="H30" s="13">
        <v>31664</v>
      </c>
      <c r="I30" s="13">
        <v>45604</v>
      </c>
      <c r="J30" s="13">
        <v>36546</v>
      </c>
      <c r="K30" s="13">
        <v>32148</v>
      </c>
      <c r="L30" s="13">
        <v>35677</v>
      </c>
      <c r="M30" s="13">
        <v>35448</v>
      </c>
      <c r="N30" s="13">
        <f t="shared" si="0"/>
        <v>386951</v>
      </c>
    </row>
    <row r="31" spans="1:14" ht="15.75" thickBot="1">
      <c r="A31" s="2" t="s">
        <v>30</v>
      </c>
      <c r="B31" s="12">
        <v>27083</v>
      </c>
      <c r="C31" s="12">
        <v>20645</v>
      </c>
      <c r="D31" s="12">
        <v>25255</v>
      </c>
      <c r="E31" s="12">
        <v>19417</v>
      </c>
      <c r="F31" s="12">
        <v>33414</v>
      </c>
      <c r="G31" s="12">
        <v>21363</v>
      </c>
      <c r="H31" s="12">
        <v>23318</v>
      </c>
      <c r="I31" s="12">
        <v>23706</v>
      </c>
      <c r="J31" s="12">
        <v>25368</v>
      </c>
      <c r="K31" s="12">
        <v>21954</v>
      </c>
      <c r="L31" s="12">
        <v>20594</v>
      </c>
      <c r="M31" s="12">
        <v>20473</v>
      </c>
      <c r="N31" s="12">
        <f t="shared" si="0"/>
        <v>282590</v>
      </c>
    </row>
    <row r="32" spans="1:14" ht="15.75" thickBot="1">
      <c r="A32" s="4" t="s">
        <v>31</v>
      </c>
      <c r="B32" s="13">
        <v>26065</v>
      </c>
      <c r="C32" s="13">
        <v>22387</v>
      </c>
      <c r="D32" s="13">
        <v>18530</v>
      </c>
      <c r="E32" s="13">
        <v>26660</v>
      </c>
      <c r="F32" s="13">
        <v>33700</v>
      </c>
      <c r="G32" s="13">
        <v>30699</v>
      </c>
      <c r="H32" s="13">
        <v>27707</v>
      </c>
      <c r="I32" s="13">
        <v>33847</v>
      </c>
      <c r="J32" s="13">
        <v>40336</v>
      </c>
      <c r="K32" s="13">
        <v>30177</v>
      </c>
      <c r="L32" s="13">
        <v>27130</v>
      </c>
      <c r="M32" s="13">
        <v>28718</v>
      </c>
      <c r="N32" s="13">
        <f t="shared" si="0"/>
        <v>345956</v>
      </c>
    </row>
    <row r="33" spans="1:14" ht="29.25" thickBot="1">
      <c r="A33" s="2" t="s">
        <v>32</v>
      </c>
      <c r="B33" s="12">
        <v>19867</v>
      </c>
      <c r="C33" s="12">
        <v>22579</v>
      </c>
      <c r="D33" s="12">
        <v>23411</v>
      </c>
      <c r="E33" s="12">
        <v>28101</v>
      </c>
      <c r="F33" s="12">
        <v>20832</v>
      </c>
      <c r="G33" s="12">
        <v>22157</v>
      </c>
      <c r="H33" s="12">
        <v>19892</v>
      </c>
      <c r="I33" s="12">
        <v>18300</v>
      </c>
      <c r="J33" s="12">
        <v>25350</v>
      </c>
      <c r="K33" s="12">
        <v>19542</v>
      </c>
      <c r="L33" s="12">
        <v>18778</v>
      </c>
      <c r="M33" s="12">
        <v>19545</v>
      </c>
      <c r="N33" s="12">
        <f t="shared" si="0"/>
        <v>258354</v>
      </c>
    </row>
    <row r="34" spans="1:14" ht="15.75" thickBot="1">
      <c r="A34" s="4" t="s">
        <v>33</v>
      </c>
      <c r="B34" s="13">
        <v>37647</v>
      </c>
      <c r="C34" s="13">
        <v>16599</v>
      </c>
      <c r="D34" s="13">
        <v>22945</v>
      </c>
      <c r="E34" s="13">
        <v>23728</v>
      </c>
      <c r="F34" s="13">
        <v>31857</v>
      </c>
      <c r="G34" s="13">
        <v>25862</v>
      </c>
      <c r="H34" s="13">
        <v>23736</v>
      </c>
      <c r="I34" s="13">
        <v>24098</v>
      </c>
      <c r="J34" s="13">
        <v>26462</v>
      </c>
      <c r="K34" s="13">
        <v>17686</v>
      </c>
      <c r="L34" s="13">
        <v>21348</v>
      </c>
      <c r="M34" s="13">
        <v>23600</v>
      </c>
      <c r="N34" s="13">
        <f t="shared" si="0"/>
        <v>295568</v>
      </c>
    </row>
    <row r="35" spans="1:14" ht="15.75" thickBot="1">
      <c r="A35" s="2" t="s">
        <v>34</v>
      </c>
      <c r="B35" s="12">
        <v>29688</v>
      </c>
      <c r="C35" s="12">
        <v>18772</v>
      </c>
      <c r="D35" s="12">
        <v>20506</v>
      </c>
      <c r="E35" s="12">
        <v>27290</v>
      </c>
      <c r="F35" s="12">
        <v>30058</v>
      </c>
      <c r="G35" s="12">
        <v>21501</v>
      </c>
      <c r="H35" s="12">
        <v>24160</v>
      </c>
      <c r="I35" s="12">
        <v>34642</v>
      </c>
      <c r="J35" s="12">
        <v>26670</v>
      </c>
      <c r="K35" s="12">
        <v>22363</v>
      </c>
      <c r="L35" s="12">
        <v>21510</v>
      </c>
      <c r="M35" s="12">
        <v>22474</v>
      </c>
      <c r="N35" s="12">
        <f t="shared" si="0"/>
        <v>299634</v>
      </c>
    </row>
  </sheetData>
  <mergeCells count="2">
    <mergeCell ref="A1:A2"/>
    <mergeCell ref="B1:N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4DC-0F5E-41E3-8B0A-790438E48967}">
  <dimension ref="A1:P14"/>
  <sheetViews>
    <sheetView tabSelected="1" workbookViewId="0">
      <selection activeCell="E3" sqref="E3:P3"/>
    </sheetView>
  </sheetViews>
  <sheetFormatPr baseColWidth="10" defaultRowHeight="15"/>
  <cols>
    <col min="2" max="2" width="28.28515625" style="10" customWidth="1"/>
    <col min="3" max="3" width="19.28515625" style="10" bestFit="1" customWidth="1"/>
    <col min="4" max="4" width="19.28515625" bestFit="1" customWidth="1"/>
  </cols>
  <sheetData>
    <row r="1" spans="1:16" ht="15.75" thickBot="1">
      <c r="A1" s="11" t="s">
        <v>39</v>
      </c>
      <c r="B1" s="11" t="s">
        <v>37</v>
      </c>
      <c r="C1" s="11" t="s">
        <v>38</v>
      </c>
    </row>
    <row r="2" spans="1:16" ht="15.75" thickBot="1">
      <c r="A2" s="8">
        <v>2010</v>
      </c>
      <c r="B2" s="8">
        <v>30535</v>
      </c>
      <c r="C2" s="8">
        <v>5.0999999999999996</v>
      </c>
      <c r="E2" s="8">
        <v>2010</v>
      </c>
      <c r="F2" s="8">
        <v>2011</v>
      </c>
      <c r="G2" s="8">
        <v>2012</v>
      </c>
      <c r="H2" s="8">
        <v>2013</v>
      </c>
      <c r="I2" s="8">
        <v>2014</v>
      </c>
      <c r="J2" s="8">
        <v>2015</v>
      </c>
      <c r="K2" s="8">
        <v>2016</v>
      </c>
      <c r="L2" s="8">
        <v>2017</v>
      </c>
      <c r="M2" s="8">
        <v>2018</v>
      </c>
      <c r="N2" s="8">
        <v>2019</v>
      </c>
      <c r="O2" s="8">
        <v>2020</v>
      </c>
      <c r="P2" s="8">
        <v>2021</v>
      </c>
    </row>
    <row r="3" spans="1:16" ht="15.75" thickBot="1">
      <c r="A3" s="8"/>
      <c r="B3" s="8"/>
      <c r="C3" s="8"/>
      <c r="E3" s="8">
        <v>30535</v>
      </c>
      <c r="F3" s="8">
        <v>29200</v>
      </c>
      <c r="G3" s="8">
        <v>35139</v>
      </c>
      <c r="H3" s="8">
        <v>41563</v>
      </c>
      <c r="I3" s="8">
        <v>41655</v>
      </c>
      <c r="J3" s="8">
        <v>35497</v>
      </c>
      <c r="K3" s="8">
        <v>37017</v>
      </c>
      <c r="L3" s="8">
        <v>39369</v>
      </c>
      <c r="M3" s="8">
        <v>37807</v>
      </c>
      <c r="N3" s="8">
        <v>33659</v>
      </c>
      <c r="O3" s="8">
        <v>30601</v>
      </c>
      <c r="P3" s="8">
        <v>30786</v>
      </c>
    </row>
    <row r="4" spans="1:16" ht="15.75" thickBot="1">
      <c r="A4" s="8">
        <v>2011</v>
      </c>
      <c r="B4" s="8">
        <v>29200</v>
      </c>
      <c r="C4" s="8">
        <v>5.3</v>
      </c>
      <c r="E4" s="8">
        <v>5.0999999999999996</v>
      </c>
      <c r="F4" s="8">
        <v>5.3</v>
      </c>
      <c r="G4" s="8">
        <v>4.9000000000000004</v>
      </c>
      <c r="H4" s="8">
        <v>4.9000000000000004</v>
      </c>
      <c r="I4" s="8">
        <v>4.5999999999999996</v>
      </c>
      <c r="J4" s="8">
        <v>4.2</v>
      </c>
      <c r="K4" s="8">
        <v>3.9</v>
      </c>
      <c r="L4" s="8">
        <v>3.4</v>
      </c>
      <c r="M4" s="8">
        <v>3.6</v>
      </c>
      <c r="N4" s="8">
        <v>3.1</v>
      </c>
      <c r="O4" s="8">
        <v>4.5</v>
      </c>
      <c r="P4" s="8">
        <v>3.8</v>
      </c>
    </row>
    <row r="5" spans="1:16" ht="15.75" thickBot="1">
      <c r="A5" s="8">
        <v>2012</v>
      </c>
      <c r="B5" s="8">
        <v>35139</v>
      </c>
      <c r="C5" s="8">
        <v>4.9000000000000004</v>
      </c>
    </row>
    <row r="6" spans="1:16" ht="15.75" thickBot="1">
      <c r="A6" s="8">
        <v>2013</v>
      </c>
      <c r="B6" s="8">
        <v>41563</v>
      </c>
      <c r="C6" s="8">
        <v>4.9000000000000004</v>
      </c>
    </row>
    <row r="7" spans="1:16" ht="15.75" thickBot="1">
      <c r="A7" s="8">
        <v>2014</v>
      </c>
      <c r="B7" s="8">
        <v>41655</v>
      </c>
      <c r="C7" s="8">
        <v>4.5999999999999996</v>
      </c>
    </row>
    <row r="8" spans="1:16" ht="15.75" thickBot="1">
      <c r="A8" s="8">
        <v>2015</v>
      </c>
      <c r="B8" s="8">
        <v>35497</v>
      </c>
      <c r="C8" s="8">
        <v>4.2</v>
      </c>
    </row>
    <row r="9" spans="1:16" ht="15.75" thickBot="1">
      <c r="A9" s="8">
        <v>2016</v>
      </c>
      <c r="B9" s="8">
        <v>37017</v>
      </c>
      <c r="C9" s="8">
        <v>3.9</v>
      </c>
    </row>
    <row r="10" spans="1:16" ht="15.75" thickBot="1">
      <c r="A10" s="8">
        <v>2017</v>
      </c>
      <c r="B10" s="8">
        <v>39369</v>
      </c>
      <c r="C10" s="8">
        <v>3.4</v>
      </c>
    </row>
    <row r="11" spans="1:16" ht="15.75" thickBot="1">
      <c r="A11" s="8">
        <v>2018</v>
      </c>
      <c r="B11" s="8">
        <v>37807</v>
      </c>
      <c r="C11" s="8">
        <v>3.6</v>
      </c>
    </row>
    <row r="12" spans="1:16" ht="15.75" thickBot="1">
      <c r="A12" s="8">
        <v>2019</v>
      </c>
      <c r="B12" s="8">
        <v>33659</v>
      </c>
      <c r="C12" s="8">
        <v>3.1</v>
      </c>
    </row>
    <row r="13" spans="1:16" ht="15.75" thickBot="1">
      <c r="A13" s="8">
        <v>2020</v>
      </c>
      <c r="B13" s="8">
        <v>30601</v>
      </c>
      <c r="C13" s="8">
        <v>4.5</v>
      </c>
    </row>
    <row r="14" spans="1:16" ht="15.75" thickBot="1">
      <c r="A14" s="8">
        <v>2021</v>
      </c>
      <c r="B14" s="8">
        <v>30786</v>
      </c>
      <c r="C14" s="8">
        <v>3.8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E431-E889-483D-BC58-B0ED0D768034}">
  <dimension ref="A1:O57"/>
  <sheetViews>
    <sheetView workbookViewId="0">
      <selection activeCell="C4" sqref="C4"/>
    </sheetView>
  </sheetViews>
  <sheetFormatPr baseColWidth="10" defaultRowHeight="15"/>
  <sheetData>
    <row r="1" spans="1:15" ht="15.75" thickBot="1">
      <c r="D1" s="6">
        <v>2010</v>
      </c>
      <c r="E1" s="7">
        <v>2011</v>
      </c>
      <c r="F1" s="6">
        <v>2012</v>
      </c>
      <c r="G1" s="7">
        <v>2013</v>
      </c>
      <c r="H1" s="6">
        <v>2014</v>
      </c>
      <c r="I1" s="7">
        <v>2015</v>
      </c>
      <c r="J1" s="6">
        <v>2016</v>
      </c>
      <c r="K1" s="7">
        <v>2017</v>
      </c>
      <c r="L1" s="6">
        <v>2018</v>
      </c>
      <c r="M1" s="7">
        <v>2019</v>
      </c>
      <c r="N1" s="6">
        <v>2020</v>
      </c>
      <c r="O1" s="7">
        <v>2021</v>
      </c>
    </row>
    <row r="2" spans="1:15" ht="15.75" thickBot="1">
      <c r="D2" s="8">
        <v>5.0999999999999996</v>
      </c>
      <c r="E2" s="9">
        <v>5.3</v>
      </c>
      <c r="F2" s="8">
        <v>4.9000000000000004</v>
      </c>
      <c r="G2" s="9">
        <v>4.9000000000000004</v>
      </c>
      <c r="H2" s="8">
        <v>4.5999999999999996</v>
      </c>
      <c r="I2" s="9">
        <v>4.2</v>
      </c>
      <c r="J2" s="8">
        <v>3.9</v>
      </c>
      <c r="K2" s="9">
        <v>3.4</v>
      </c>
      <c r="L2" s="8">
        <v>3.6</v>
      </c>
      <c r="M2" s="9">
        <v>3.1</v>
      </c>
      <c r="N2" s="8">
        <v>4.5</v>
      </c>
      <c r="O2" s="9">
        <v>3.8</v>
      </c>
    </row>
    <row r="3" spans="1:15" ht="15.75" thickBot="1">
      <c r="B3" t="s">
        <v>37</v>
      </c>
      <c r="C3" t="s">
        <v>40</v>
      </c>
    </row>
    <row r="4" spans="1:15" ht="15.75" thickBot="1">
      <c r="A4" s="6">
        <v>2010</v>
      </c>
      <c r="B4" s="3">
        <v>30535</v>
      </c>
      <c r="C4" s="8">
        <v>5.0999999999999996</v>
      </c>
    </row>
    <row r="5" spans="1:15" ht="15.75" thickBot="1">
      <c r="A5" s="7">
        <v>2011</v>
      </c>
      <c r="B5" s="3">
        <v>29200</v>
      </c>
      <c r="C5" s="9">
        <v>5.3</v>
      </c>
    </row>
    <row r="6" spans="1:15" ht="15.75" thickBot="1">
      <c r="A6" s="6">
        <v>2012</v>
      </c>
      <c r="B6" s="3">
        <v>35139</v>
      </c>
      <c r="C6" s="8">
        <v>4.9000000000000004</v>
      </c>
    </row>
    <row r="7" spans="1:15" ht="15.75" thickBot="1">
      <c r="A7" s="7">
        <v>2013</v>
      </c>
      <c r="B7" s="3">
        <v>41563</v>
      </c>
      <c r="C7" s="9">
        <v>4.9000000000000004</v>
      </c>
    </row>
    <row r="8" spans="1:15" ht="15.75" thickBot="1">
      <c r="A8" s="6">
        <v>2014</v>
      </c>
      <c r="B8" s="3">
        <v>41655</v>
      </c>
      <c r="C8" s="8">
        <v>4.5999999999999996</v>
      </c>
    </row>
    <row r="9" spans="1:15" ht="15.75" thickBot="1">
      <c r="A9" s="7">
        <v>2015</v>
      </c>
      <c r="B9" s="3">
        <v>35497</v>
      </c>
      <c r="C9" s="9">
        <v>4.2</v>
      </c>
    </row>
    <row r="10" spans="1:15" ht="15.75" thickBot="1">
      <c r="A10" s="6">
        <v>2016</v>
      </c>
      <c r="B10" s="3">
        <v>37017</v>
      </c>
      <c r="C10" s="8">
        <v>3.9</v>
      </c>
    </row>
    <row r="11" spans="1:15" ht="15.75" thickBot="1">
      <c r="A11" s="7">
        <v>2017</v>
      </c>
      <c r="B11" s="3">
        <v>39369</v>
      </c>
      <c r="C11" s="9">
        <v>3.4</v>
      </c>
    </row>
    <row r="12" spans="1:15" ht="15.75" thickBot="1">
      <c r="A12" s="6">
        <v>2018</v>
      </c>
      <c r="B12" s="3">
        <v>37807</v>
      </c>
      <c r="C12" s="8">
        <v>3.6</v>
      </c>
    </row>
    <row r="13" spans="1:15" ht="15.75" thickBot="1">
      <c r="A13" s="7">
        <v>2019</v>
      </c>
      <c r="B13" s="3">
        <v>33659</v>
      </c>
      <c r="C13" s="9">
        <v>3.1</v>
      </c>
    </row>
    <row r="14" spans="1:15" ht="15.75" thickBot="1">
      <c r="A14" s="6">
        <v>2020</v>
      </c>
      <c r="B14" s="3">
        <v>30601</v>
      </c>
      <c r="C14" s="8">
        <v>4.5</v>
      </c>
    </row>
    <row r="15" spans="1:15" ht="15.75" thickBot="1">
      <c r="A15" s="7">
        <v>2021</v>
      </c>
      <c r="B15" s="3">
        <v>30786</v>
      </c>
      <c r="C15" s="9">
        <v>3.8</v>
      </c>
    </row>
    <row r="22" spans="1:13" ht="15.75" thickBot="1"/>
    <row r="23" spans="1:13" ht="15.75" thickBot="1">
      <c r="A23" s="14" t="s">
        <v>0</v>
      </c>
      <c r="B23" s="18" t="s">
        <v>36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</row>
    <row r="24" spans="1:13" ht="15.75" thickBot="1">
      <c r="A24" s="15"/>
      <c r="B24" s="1">
        <v>2010</v>
      </c>
      <c r="C24" s="1">
        <v>2011</v>
      </c>
      <c r="D24" s="1">
        <v>2012</v>
      </c>
      <c r="E24" s="1">
        <v>2013</v>
      </c>
      <c r="F24" s="1">
        <v>2014</v>
      </c>
      <c r="G24" s="1">
        <v>2015</v>
      </c>
      <c r="H24" s="1">
        <v>2016</v>
      </c>
      <c r="I24" s="1">
        <v>2017</v>
      </c>
      <c r="J24" s="1">
        <v>2018</v>
      </c>
      <c r="K24" s="1">
        <v>2019</v>
      </c>
      <c r="L24" s="1">
        <v>2020</v>
      </c>
      <c r="M24" s="1">
        <v>2021</v>
      </c>
    </row>
    <row r="25" spans="1:13" ht="43.5" thickBot="1">
      <c r="A25" s="2" t="s">
        <v>2</v>
      </c>
      <c r="B25" s="5">
        <f>('Incidencia delictiva estados'!B3/'Incidencia delictiva estados'!$N3)*100</f>
        <v>7.221612570596081</v>
      </c>
      <c r="C25" s="5">
        <f>('Incidencia delictiva estados'!C3/'Incidencia delictiva estados'!$N3)*100</f>
        <v>6.9058813512823187</v>
      </c>
      <c r="D25" s="5">
        <f>('Incidencia delictiva estados'!D3/'Incidencia delictiva estados'!$N3)*100</f>
        <v>8.3104713973530622</v>
      </c>
      <c r="E25" s="5">
        <f>('Incidencia delictiva estados'!E3/'Incidencia delictiva estados'!$N3)*100</f>
        <v>9.8297652946351697</v>
      </c>
      <c r="F25" s="5">
        <f>('Incidencia delictiva estados'!F3/'Incidencia delictiva estados'!$N3)*100</f>
        <v>9.8515235509474302</v>
      </c>
      <c r="G25" s="5">
        <f>('Incidencia delictiva estados'!G3/'Incidencia delictiva estados'!$N3)*100</f>
        <v>8.3951393947420705</v>
      </c>
      <c r="H25" s="5">
        <f>('Incidencia delictiva estados'!H3/'Incidencia delictiva estados'!$N3)*100</f>
        <v>8.7546236294663551</v>
      </c>
      <c r="I25" s="5">
        <f>('Incidencia delictiva estados'!I3/'Incidencia delictiva estados'!$N3)*100</f>
        <v>9.310878182144986</v>
      </c>
      <c r="J25" s="5">
        <f>('Incidencia delictiva estados'!J3/'Incidencia delictiva estados'!$N3)*100</f>
        <v>8.9414608304085821</v>
      </c>
      <c r="K25" s="5">
        <f>('Incidencia delictiva estados'!K3/'Incidencia delictiva estados'!$N3)*100</f>
        <v>7.9604472740688879</v>
      </c>
      <c r="L25" s="5">
        <f>('Incidencia delictiva estados'!L3/'Incidencia delictiva estados'!$N3)*100</f>
        <v>7.2372217544722677</v>
      </c>
      <c r="M25" s="5">
        <f>('Incidencia delictiva estados'!M3/'Incidencia delictiva estados'!$N3)*100</f>
        <v>7.2809747698827891</v>
      </c>
    </row>
    <row r="26" spans="1:13" ht="29.25" thickBot="1">
      <c r="A26" s="4" t="s">
        <v>3</v>
      </c>
      <c r="B26" s="5">
        <f>('Incidencia delictiva estados'!B4/'Incidencia delictiva estados'!$N4)*100</f>
        <v>12.768800681136257</v>
      </c>
      <c r="C26" s="5">
        <f>('Incidencia delictiva estados'!C4/'Incidencia delictiva estados'!$N4)*100</f>
        <v>5.8076427494957494</v>
      </c>
      <c r="D26" s="5">
        <f>('Incidencia delictiva estados'!D4/'Incidencia delictiva estados'!$N4)*100</f>
        <v>7.368655894150697</v>
      </c>
      <c r="E26" s="5">
        <f>('Incidencia delictiva estados'!E4/'Incidencia delictiva estados'!$N4)*100</f>
        <v>5.6255207550777886</v>
      </c>
      <c r="F26" s="5">
        <f>('Incidencia delictiva estados'!F4/'Incidencia delictiva estados'!$N4)*100</f>
        <v>8.9815738072147635</v>
      </c>
      <c r="G26" s="5">
        <f>('Incidencia delictiva estados'!G4/'Incidencia delictiva estados'!$N4)*100</f>
        <v>8.0718744450970483</v>
      </c>
      <c r="H26" s="5">
        <f>('Incidencia delictiva estados'!H4/'Incidencia delictiva estados'!$N4)*100</f>
        <v>9.3915759471481959</v>
      </c>
      <c r="I26" s="5">
        <f>('Incidencia delictiva estados'!I4/'Incidencia delictiva estados'!$N4)*100</f>
        <v>9.0860663015120675</v>
      </c>
      <c r="J26" s="5">
        <f>('Incidencia delictiva estados'!J4/'Incidencia delictiva estados'!$N4)*100</f>
        <v>8.309315995319464</v>
      </c>
      <c r="K26" s="5">
        <f>('Incidencia delictiva estados'!K4/'Incidencia delictiva estados'!$N4)*100</f>
        <v>11.028169719486598</v>
      </c>
      <c r="L26" s="5">
        <f>('Incidencia delictiva estados'!L4/'Incidencia delictiva estados'!$N4)*100</f>
        <v>6.8259323507851732</v>
      </c>
      <c r="M26" s="5">
        <f>('Incidencia delictiva estados'!M4/'Incidencia delictiva estados'!$N4)*100</f>
        <v>6.7348713535761924</v>
      </c>
    </row>
    <row r="27" spans="1:13" ht="29.25" thickBot="1">
      <c r="A27" s="2" t="s">
        <v>4</v>
      </c>
      <c r="B27" s="5">
        <f>('Incidencia delictiva estados'!B5/'Incidencia delictiva estados'!$N5)*100</f>
        <v>6.6280407969243855</v>
      </c>
      <c r="C27" s="5">
        <f>('Incidencia delictiva estados'!C5/'Incidencia delictiva estados'!$N5)*100</f>
        <v>6.1391365262569737</v>
      </c>
      <c r="D27" s="5">
        <f>('Incidencia delictiva estados'!D5/'Incidencia delictiva estados'!$N5)*100</f>
        <v>8.1929514389839131</v>
      </c>
      <c r="E27" s="5">
        <f>('Incidencia delictiva estados'!E5/'Incidencia delictiva estados'!$N5)*100</f>
        <v>11.897574034075273</v>
      </c>
      <c r="F27" s="5">
        <f>('Incidencia delictiva estados'!F5/'Incidencia delictiva estados'!$N5)*100</f>
        <v>11.807090258608469</v>
      </c>
      <c r="G27" s="5">
        <f>('Incidencia delictiva estados'!G5/'Incidencia delictiva estados'!$N5)*100</f>
        <v>6.8296486560865981</v>
      </c>
      <c r="H27" s="5">
        <f>('Incidencia delictiva estados'!H5/'Incidencia delictiva estados'!$N5)*100</f>
        <v>10.692513614263913</v>
      </c>
      <c r="I27" s="5">
        <f>('Incidencia delictiva estados'!I5/'Incidencia delictiva estados'!$N5)*100</f>
        <v>9.1569997748330003</v>
      </c>
      <c r="J27" s="5">
        <f>('Incidencia delictiva estados'!J5/'Incidencia delictiva estados'!$N5)*100</f>
        <v>8.9076481723945271</v>
      </c>
      <c r="K27" s="5">
        <f>('Incidencia delictiva estados'!K5/'Incidencia delictiva estados'!$N5)*100</f>
        <v>7.4336382817256128</v>
      </c>
      <c r="L27" s="5">
        <f>('Incidencia delictiva estados'!L5/'Incidencia delictiva estados'!$N5)*100</f>
        <v>5.7077749330753642</v>
      </c>
      <c r="M27" s="5">
        <f>('Incidencia delictiva estados'!M5/'Incidencia delictiva estados'!$N5)*100</f>
        <v>6.6069835127719729</v>
      </c>
    </row>
    <row r="28" spans="1:13" ht="43.5" thickBot="1">
      <c r="A28" s="4" t="s">
        <v>5</v>
      </c>
      <c r="B28" s="5">
        <f>('Incidencia delictiva estados'!B6/'Incidencia delictiva estados'!$N6)*100</f>
        <v>8.1289968592727142</v>
      </c>
      <c r="C28" s="5">
        <f>('Incidencia delictiva estados'!C6/'Incidencia delictiva estados'!$N6)*100</f>
        <v>9.1081091308131832</v>
      </c>
      <c r="D28" s="5">
        <f>('Incidencia delictiva estados'!D6/'Incidencia delictiva estados'!$N6)*100</f>
        <v>9.7908073813397909</v>
      </c>
      <c r="E28" s="5">
        <f>('Incidencia delictiva estados'!E6/'Incidencia delictiva estados'!$N6)*100</f>
        <v>7.4882380393789179</v>
      </c>
      <c r="F28" s="5">
        <f>('Incidencia delictiva estados'!F6/'Incidencia delictiva estados'!$N6)*100</f>
        <v>10.942092052320227</v>
      </c>
      <c r="G28" s="5">
        <f>('Incidencia delictiva estados'!G6/'Incidencia delictiva estados'!$N6)*100</f>
        <v>8.0652993781612246</v>
      </c>
      <c r="H28" s="5">
        <f>('Incidencia delictiva estados'!H6/'Incidencia delictiva estados'!$N6)*100</f>
        <v>9.4407865692915074</v>
      </c>
      <c r="I28" s="5">
        <f>('Incidencia delictiva estados'!I6/'Incidencia delictiva estados'!$N6)*100</f>
        <v>8.1009321274958683</v>
      </c>
      <c r="J28" s="5">
        <f>('Incidencia delictiva estados'!J6/'Incidencia delictiva estados'!$N6)*100</f>
        <v>8.9482347599046435</v>
      </c>
      <c r="K28" s="5">
        <f>('Incidencia delictiva estados'!K6/'Incidencia delictiva estados'!$N6)*100</f>
        <v>5.9557144839242699</v>
      </c>
      <c r="L28" s="5">
        <f>('Incidencia delictiva estados'!L6/'Incidencia delictiva estados'!$N6)*100</f>
        <v>7.170381301951287</v>
      </c>
      <c r="M28" s="5">
        <f>('Incidencia delictiva estados'!M6/'Incidencia delictiva estados'!$N6)*100</f>
        <v>6.8604079161463662</v>
      </c>
    </row>
    <row r="29" spans="1:13" ht="15.75" thickBot="1">
      <c r="A29" s="2" t="s">
        <v>6</v>
      </c>
      <c r="B29" s="5">
        <f>('Incidencia delictiva estados'!B7/'Incidencia delictiva estados'!$N7)*100</f>
        <v>6.9745579646371709</v>
      </c>
      <c r="C29" s="5">
        <f>('Incidencia delictiva estados'!C7/'Incidencia delictiva estados'!$N7)*100</f>
        <v>7.2352454863055709</v>
      </c>
      <c r="D29" s="5">
        <f>('Incidencia delictiva estados'!D7/'Incidencia delictiva estados'!$N7)*100</f>
        <v>9.6997759820785667</v>
      </c>
      <c r="E29" s="5">
        <f>('Incidencia delictiva estados'!E7/'Incidencia delictiva estados'!$N7)*100</f>
        <v>10.199815985278821</v>
      </c>
      <c r="F29" s="5">
        <f>('Incidencia delictiva estados'!F7/'Incidencia delictiva estados'!$N7)*100</f>
        <v>9.7694482225244688</v>
      </c>
      <c r="G29" s="5">
        <f>('Incidencia delictiva estados'!G7/'Incidencia delictiva estados'!$N7)*100</f>
        <v>7.3719230871803072</v>
      </c>
      <c r="H29" s="5">
        <f>('Incidencia delictiva estados'!H7/'Incidencia delictiva estados'!$N7)*100</f>
        <v>9.6314371816411981</v>
      </c>
      <c r="I29" s="5">
        <f>('Incidencia delictiva estados'!I7/'Incidencia delictiva estados'!$N7)*100</f>
        <v>9.4284209403418942</v>
      </c>
      <c r="J29" s="5">
        <f>('Incidencia delictiva estados'!J7/'Incidencia delictiva estados'!$N7)*100</f>
        <v>8.8227058164653176</v>
      </c>
      <c r="K29" s="5">
        <f>('Incidencia delictiva estados'!K7/'Incidencia delictiva estados'!$N7)*100</f>
        <v>6.1988292396725067</v>
      </c>
      <c r="L29" s="5">
        <f>('Incidencia delictiva estados'!L7/'Incidencia delictiva estados'!$N7)*100</f>
        <v>8.4640104541696672</v>
      </c>
      <c r="M29" s="5">
        <f>('Incidencia delictiva estados'!M7/'Incidencia delictiva estados'!$N7)*100</f>
        <v>6.2038296397045096</v>
      </c>
    </row>
    <row r="30" spans="1:13" ht="43.5" thickBot="1">
      <c r="A30" s="4" t="s">
        <v>7</v>
      </c>
      <c r="B30" s="5">
        <f>('Incidencia delictiva estados'!B8/'Incidencia delictiva estados'!$N8)*100</f>
        <v>10.085773337926284</v>
      </c>
      <c r="C30" s="5">
        <f>('Incidencia delictiva estados'!C8/'Incidencia delictiva estados'!$N8)*100</f>
        <v>9.1484671029969</v>
      </c>
      <c r="D30" s="5">
        <f>('Incidencia delictiva estados'!D8/'Incidencia delictiva estados'!$N8)*100</f>
        <v>6.1557009989665863</v>
      </c>
      <c r="E30" s="5">
        <f>('Incidencia delictiva estados'!E8/'Incidencia delictiva estados'!$N8)*100</f>
        <v>8.7671374440234242</v>
      </c>
      <c r="F30" s="5">
        <f>('Incidencia delictiva estados'!F8/'Incidencia delictiva estados'!$N8)*100</f>
        <v>6.3100241129865662</v>
      </c>
      <c r="G30" s="5">
        <f>('Incidencia delictiva estados'!G8/'Incidencia delictiva estados'!$N8)*100</f>
        <v>8.542886668963142</v>
      </c>
      <c r="H30" s="5">
        <f>('Incidencia delictiva estados'!H8/'Incidencia delictiva estados'!$N8)*100</f>
        <v>8.6858422321736128</v>
      </c>
      <c r="I30" s="5">
        <f>('Incidencia delictiva estados'!I8/'Incidencia delictiva estados'!$N8)*100</f>
        <v>8.7147778160523597</v>
      </c>
      <c r="J30" s="5">
        <f>('Incidencia delictiva estados'!J8/'Incidencia delictiva estados'!$N8)*100</f>
        <v>8.5473647950396128</v>
      </c>
      <c r="K30" s="5">
        <f>('Incidencia delictiva estados'!K8/'Incidencia delictiva estados'!$N8)*100</f>
        <v>7.5425421977264904</v>
      </c>
      <c r="L30" s="5">
        <f>('Incidencia delictiva estados'!L8/'Incidencia delictiva estados'!$N8)*100</f>
        <v>9.0881846365828451</v>
      </c>
      <c r="M30" s="5">
        <f>('Incidencia delictiva estados'!M8/'Incidencia delictiva estados'!$N8)*100</f>
        <v>8.4112986565621775</v>
      </c>
    </row>
    <row r="31" spans="1:13" ht="15.75" thickBot="1">
      <c r="A31" s="2" t="s">
        <v>8</v>
      </c>
      <c r="B31" s="5">
        <f>('Incidencia delictiva estados'!B9/'Incidencia delictiva estados'!$N9)*100</f>
        <v>5.4843861174796427</v>
      </c>
      <c r="C31" s="5">
        <f>('Incidencia delictiva estados'!C9/'Incidencia delictiva estados'!$N9)*100</f>
        <v>7.0478298679737525</v>
      </c>
      <c r="D31" s="5">
        <f>('Incidencia delictiva estados'!D9/'Incidencia delictiva estados'!$N9)*100</f>
        <v>7.9592062613645345</v>
      </c>
      <c r="E31" s="5">
        <f>('Incidencia delictiva estados'!E9/'Incidencia delictiva estados'!$N9)*100</f>
        <v>8.319709067910507</v>
      </c>
      <c r="F31" s="5">
        <f>('Incidencia delictiva estados'!F9/'Incidencia delictiva estados'!$N9)*100</f>
        <v>9.6560992963870653</v>
      </c>
      <c r="G31" s="5">
        <f>('Incidencia delictiva estados'!G9/'Incidencia delictiva estados'!$N9)*100</f>
        <v>8.5524547395050998</v>
      </c>
      <c r="H31" s="5">
        <f>('Incidencia delictiva estados'!H9/'Incidencia delictiva estados'!$N9)*100</f>
        <v>9.31267293857222</v>
      </c>
      <c r="I31" s="5">
        <f>('Incidencia delictiva estados'!I9/'Incidencia delictiva estados'!$N9)*100</f>
        <v>8.5616254249347783</v>
      </c>
      <c r="J31" s="5">
        <f>('Incidencia delictiva estados'!J9/'Incidencia delictiva estados'!$N9)*100</f>
        <v>8.9733575776741255</v>
      </c>
      <c r="K31" s="5">
        <f>('Incidencia delictiva estados'!K9/'Incidencia delictiva estados'!$N9)*100</f>
        <v>9.2592299786544388</v>
      </c>
      <c r="L31" s="5">
        <f>('Incidencia delictiva estados'!L9/'Incidencia delictiva estados'!$N9)*100</f>
        <v>8.4727646454265155</v>
      </c>
      <c r="M31" s="5">
        <f>('Incidencia delictiva estados'!M9/'Incidencia delictiva estados'!$N9)*100</f>
        <v>8.4006640841173219</v>
      </c>
    </row>
    <row r="32" spans="1:13" ht="15.75" thickBot="1">
      <c r="A32" s="4" t="s">
        <v>9</v>
      </c>
      <c r="B32" s="5">
        <f>('Incidencia delictiva estados'!B10/'Incidencia delictiva estados'!$N10)*100</f>
        <v>7.4217476763825649</v>
      </c>
      <c r="C32" s="5">
        <f>('Incidencia delictiva estados'!C10/'Incidencia delictiva estados'!$N10)*100</f>
        <v>6.7476269964343212</v>
      </c>
      <c r="D32" s="5">
        <f>('Incidencia delictiva estados'!D10/'Incidencia delictiva estados'!$N10)*100</f>
        <v>6.334758946297522</v>
      </c>
      <c r="E32" s="5">
        <f>('Incidencia delictiva estados'!E10/'Incidencia delictiva estados'!$N10)*100</f>
        <v>9.4895449561945018</v>
      </c>
      <c r="F32" s="5">
        <f>('Incidencia delictiva estados'!F10/'Incidencia delictiva estados'!$N10)*100</f>
        <v>9.4623825844749767</v>
      </c>
      <c r="G32" s="5">
        <f>('Incidencia delictiva estados'!G10/'Incidencia delictiva estados'!$N10)*100</f>
        <v>8.2410635797042762</v>
      </c>
      <c r="H32" s="5">
        <f>('Incidencia delictiva estados'!H10/'Incidencia delictiva estados'!$N10)*100</f>
        <v>9.904388451547268</v>
      </c>
      <c r="I32" s="5">
        <f>('Incidencia delictiva estados'!I10/'Incidencia delictiva estados'!$N10)*100</f>
        <v>10.106377724879746</v>
      </c>
      <c r="J32" s="5">
        <f>('Incidencia delictiva estados'!J10/'Incidencia delictiva estados'!$N10)*100</f>
        <v>9.5853540491688314</v>
      </c>
      <c r="K32" s="5">
        <f>('Incidencia delictiva estados'!K10/'Incidencia delictiva estados'!$N10)*100</f>
        <v>6.8661537093922549</v>
      </c>
      <c r="L32" s="5">
        <f>('Incidencia delictiva estados'!L10/'Incidencia delictiva estados'!$N10)*100</f>
        <v>7.7481899983208713</v>
      </c>
      <c r="M32" s="5">
        <f>('Incidencia delictiva estados'!M10/'Incidencia delictiva estados'!$N10)*100</f>
        <v>8.0924113272028677</v>
      </c>
    </row>
    <row r="33" spans="1:13" ht="15.75" thickBot="1">
      <c r="A33" s="2" t="s">
        <v>10</v>
      </c>
      <c r="B33" s="5">
        <f>('Incidencia delictiva estados'!B11/'Incidencia delictiva estados'!$N11)*100</f>
        <v>11.533708220825799</v>
      </c>
      <c r="C33" s="5">
        <f>('Incidencia delictiva estados'!C11/'Incidencia delictiva estados'!$N11)*100</f>
        <v>8.4121230137431233</v>
      </c>
      <c r="D33" s="5">
        <f>('Incidencia delictiva estados'!D11/'Incidencia delictiva estados'!$N11)*100</f>
        <v>9.8957086116776622</v>
      </c>
      <c r="E33" s="5">
        <f>('Incidencia delictiva estados'!E11/'Incidencia delictiva estados'!$N11)*100</f>
        <v>8.7168223192929446</v>
      </c>
      <c r="F33" s="5">
        <f>('Incidencia delictiva estados'!F11/'Incidencia delictiva estados'!$N11)*100</f>
        <v>6.687145102378417</v>
      </c>
      <c r="G33" s="5">
        <f>('Incidencia delictiva estados'!G11/'Incidencia delictiva estados'!$N11)*100</f>
        <v>8.6080994415222314</v>
      </c>
      <c r="H33" s="5">
        <f>('Incidencia delictiva estados'!H11/'Incidencia delictiva estados'!$N11)*100</f>
        <v>9.6116528905146854</v>
      </c>
      <c r="I33" s="5">
        <f>('Incidencia delictiva estados'!I11/'Incidencia delictiva estados'!$N11)*100</f>
        <v>7.9428255286821958</v>
      </c>
      <c r="J33" s="5">
        <f>('Incidencia delictiva estados'!J11/'Incidencia delictiva estados'!$N11)*100</f>
        <v>7.878142297603417</v>
      </c>
      <c r="K33" s="5">
        <f>('Incidencia delictiva estados'!K11/'Incidencia delictiva estados'!$N11)*100</f>
        <v>6.3673071682782423</v>
      </c>
      <c r="L33" s="5">
        <f>('Incidencia delictiva estados'!L11/'Incidencia delictiva estados'!$N11)*100</f>
        <v>7.0711157719737194</v>
      </c>
      <c r="M33" s="5">
        <f>('Incidencia delictiva estados'!M11/'Incidencia delictiva estados'!$N11)*100</f>
        <v>7.2753496335075649</v>
      </c>
    </row>
    <row r="34" spans="1:13" ht="29.25" thickBot="1">
      <c r="A34" s="4" t="s">
        <v>11</v>
      </c>
      <c r="B34" s="5">
        <f>('Incidencia delictiva estados'!B12/'Incidencia delictiva estados'!$N12)*100</f>
        <v>6.8054060149562918</v>
      </c>
      <c r="C34" s="5">
        <f>('Incidencia delictiva estados'!C12/'Incidencia delictiva estados'!$N12)*100</f>
        <v>6.3010444069927836</v>
      </c>
      <c r="D34" s="5">
        <f>('Incidencia delictiva estados'!D12/'Incidencia delictiva estados'!$N12)*100</f>
        <v>7.5998720945141205</v>
      </c>
      <c r="E34" s="5">
        <f>('Incidencia delictiva estados'!E12/'Incidencia delictiva estados'!$N12)*100</f>
        <v>7.9996539754971394</v>
      </c>
      <c r="F34" s="5">
        <f>('Incidencia delictiva estados'!F12/'Incidencia delictiva estados'!$N12)*100</f>
        <v>9.198227242323739</v>
      </c>
      <c r="G34" s="5">
        <f>('Incidencia delictiva estados'!G12/'Incidencia delictiva estados'!$N12)*100</f>
        <v>8.1436248847228629</v>
      </c>
      <c r="H34" s="5">
        <f>('Incidencia delictiva estados'!H12/'Incidencia delictiva estados'!$N12)*100</f>
        <v>7.7103218800252726</v>
      </c>
      <c r="I34" s="5">
        <f>('Incidencia delictiva estados'!I12/'Incidencia delictiva estados'!$N12)*100</f>
        <v>10.651684629560689</v>
      </c>
      <c r="J34" s="5">
        <f>('Incidencia delictiva estados'!J12/'Incidencia delictiva estados'!$N12)*100</f>
        <v>10.76939475062292</v>
      </c>
      <c r="K34" s="5">
        <f>('Incidencia delictiva estados'!K12/'Incidencia delictiva estados'!$N12)*100</f>
        <v>9.5786997202453676</v>
      </c>
      <c r="L34" s="5">
        <f>('Incidencia delictiva estados'!L12/'Incidencia delictiva estados'!$N12)*100</f>
        <v>8.2387816230093929</v>
      </c>
      <c r="M34" s="5">
        <f>('Incidencia delictiva estados'!M12/'Incidencia delictiva estados'!$N12)*100</f>
        <v>7.0032887775294164</v>
      </c>
    </row>
    <row r="35" spans="1:13" ht="15.75" thickBot="1">
      <c r="A35" s="2" t="s">
        <v>12</v>
      </c>
      <c r="B35" s="5">
        <f>('Incidencia delictiva estados'!B13/'Incidencia delictiva estados'!$N13)*100</f>
        <v>8.4596493597421212</v>
      </c>
      <c r="C35" s="5">
        <f>('Incidencia delictiva estados'!C13/'Incidencia delictiva estados'!$N13)*100</f>
        <v>7.6553731550159752</v>
      </c>
      <c r="D35" s="5">
        <f>('Incidencia delictiva estados'!D13/'Incidencia delictiva estados'!$N13)*100</f>
        <v>9.8201307170959335</v>
      </c>
      <c r="E35" s="5">
        <f>('Incidencia delictiva estados'!E13/'Incidencia delictiva estados'!$N13)*100</f>
        <v>8.0008245341559725</v>
      </c>
      <c r="F35" s="5">
        <f>('Incidencia delictiva estados'!F13/'Incidencia delictiva estados'!$N13)*100</f>
        <v>10.690511815361212</v>
      </c>
      <c r="G35" s="5">
        <f>('Incidencia delictiva estados'!G13/'Incidencia delictiva estados'!$N13)*100</f>
        <v>9.1125240341044389</v>
      </c>
      <c r="H35" s="5">
        <f>('Incidencia delictiva estados'!H13/'Incidencia delictiva estados'!$N13)*100</f>
        <v>8.2748399799552903</v>
      </c>
      <c r="I35" s="5">
        <f>('Incidencia delictiva estados'!I13/'Incidencia delictiva estados'!$N13)*100</f>
        <v>8.0200162774415276</v>
      </c>
      <c r="J35" s="5">
        <f>('Incidencia delictiva estados'!J13/'Incidencia delictiva estados'!$N13)*100</f>
        <v>8.0271243305102526</v>
      </c>
      <c r="K35" s="5">
        <f>('Incidencia delictiva estados'!K13/'Incidencia delictiva estados'!$N13)*100</f>
        <v>7.5960209118921274</v>
      </c>
      <c r="L35" s="5">
        <f>('Incidencia delictiva estados'!L13/'Incidencia delictiva estados'!$N13)*100</f>
        <v>8.1635989494297565</v>
      </c>
      <c r="M35" s="5">
        <f>('Incidencia delictiva estados'!M13/'Incidencia delictiva estados'!$N13)*100</f>
        <v>6.179385935295393</v>
      </c>
    </row>
    <row r="36" spans="1:13" ht="29.25" thickBot="1">
      <c r="A36" s="4" t="s">
        <v>13</v>
      </c>
      <c r="B36" s="5">
        <f>('Incidencia delictiva estados'!B14/'Incidencia delictiva estados'!$N14)*100</f>
        <v>5.7966160563659814</v>
      </c>
      <c r="C36" s="5">
        <f>('Incidencia delictiva estados'!C14/'Incidencia delictiva estados'!$N14)*100</f>
        <v>6.6252356852237764</v>
      </c>
      <c r="D36" s="5">
        <f>('Incidencia delictiva estados'!D14/'Incidencia delictiva estados'!$N14)*100</f>
        <v>8.5320531904336612</v>
      </c>
      <c r="E36" s="5">
        <f>('Incidencia delictiva estados'!E14/'Incidencia delictiva estados'!$N14)*100</f>
        <v>8.4623399821375411</v>
      </c>
      <c r="F36" s="5">
        <f>('Incidencia delictiva estados'!F14/'Incidencia delictiva estados'!$N14)*100</f>
        <v>10.10643048526347</v>
      </c>
      <c r="G36" s="5">
        <f>('Incidencia delictiva estados'!G14/'Incidencia delictiva estados'!$N14)*100</f>
        <v>8.2251662201051907</v>
      </c>
      <c r="H36" s="5">
        <f>('Incidencia delictiva estados'!H14/'Incidencia delictiva estados'!$N14)*100</f>
        <v>8.282226853230128</v>
      </c>
      <c r="I36" s="5">
        <f>('Incidencia delictiva estados'!I14/'Incidencia delictiva estados'!$N14)*100</f>
        <v>7.2519102907611392</v>
      </c>
      <c r="J36" s="5">
        <f>('Incidencia delictiva estados'!J14/'Incidencia delictiva estados'!$N14)*100</f>
        <v>9.444030961595713</v>
      </c>
      <c r="K36" s="5">
        <f>('Incidencia delictiva estados'!K14/'Incidencia delictiva estados'!$N14)*100</f>
        <v>12.626277662002581</v>
      </c>
      <c r="L36" s="5">
        <f>('Incidencia delictiva estados'!L14/'Incidencia delictiva estados'!$N14)*100</f>
        <v>7.2208990771062815</v>
      </c>
      <c r="M36" s="5">
        <f>('Incidencia delictiva estados'!M14/'Incidencia delictiva estados'!$N14)*100</f>
        <v>7.426813535774536</v>
      </c>
    </row>
    <row r="37" spans="1:13" ht="15.75" thickBot="1">
      <c r="A37" s="2" t="s">
        <v>14</v>
      </c>
      <c r="B37" s="5">
        <f>('Incidencia delictiva estados'!B15/'Incidencia delictiva estados'!$N15)*100</f>
        <v>7.4410300536060099</v>
      </c>
      <c r="C37" s="5">
        <f>('Incidencia delictiva estados'!C15/'Incidencia delictiva estados'!$N15)*100</f>
        <v>6.012055237980892</v>
      </c>
      <c r="D37" s="5">
        <f>('Incidencia delictiva estados'!D15/'Incidencia delictiva estados'!$N15)*100</f>
        <v>7.5066201532807284</v>
      </c>
      <c r="E37" s="5">
        <f>('Incidencia delictiva estados'!E15/'Incidencia delictiva estados'!$N15)*100</f>
        <v>7.8632524240544468</v>
      </c>
      <c r="F37" s="5">
        <f>('Incidencia delictiva estados'!F15/'Incidencia delictiva estados'!$N15)*100</f>
        <v>9.4916656105548913</v>
      </c>
      <c r="G37" s="5">
        <f>('Incidencia delictiva estados'!G15/'Incidencia delictiva estados'!$N15)*100</f>
        <v>11.978530915170879</v>
      </c>
      <c r="H37" s="5">
        <f>('Incidencia delictiva estados'!H15/'Incidencia delictiva estados'!$N15)*100</f>
        <v>10.537105097573612</v>
      </c>
      <c r="I37" s="5">
        <f>('Incidencia delictiva estados'!I15/'Incidencia delictiva estados'!$N15)*100</f>
        <v>10.006603477831657</v>
      </c>
      <c r="J37" s="5">
        <f>('Incidencia delictiva estados'!J15/'Incidencia delictiva estados'!$N15)*100</f>
        <v>9.5719301054110719</v>
      </c>
      <c r="K37" s="5">
        <f>('Incidencia delictiva estados'!K15/'Incidencia delictiva estados'!$N15)*100</f>
        <v>6.8622808012219778</v>
      </c>
      <c r="L37" s="5">
        <f>('Incidencia delictiva estados'!L15/'Incidencia delictiva estados'!$N15)*100</f>
        <v>6.841158565733509</v>
      </c>
      <c r="M37" s="5">
        <f>('Incidencia delictiva estados'!M15/'Incidencia delictiva estados'!$N15)*100</f>
        <v>5.8877675575803252</v>
      </c>
    </row>
    <row r="38" spans="1:13" ht="15.75" thickBot="1">
      <c r="A38" s="4" t="s">
        <v>15</v>
      </c>
      <c r="B38" s="5">
        <f>('Incidencia delictiva estados'!B16/'Incidencia delictiva estados'!$N16)*100</f>
        <v>8.3099872390982288</v>
      </c>
      <c r="C38" s="5">
        <f>('Incidencia delictiva estados'!C16/'Incidencia delictiva estados'!$N16)*100</f>
        <v>9.2061839036625255</v>
      </c>
      <c r="D38" s="5">
        <f>('Incidencia delictiva estados'!D16/'Incidencia delictiva estados'!$N16)*100</f>
        <v>8.0210334863663704</v>
      </c>
      <c r="E38" s="5">
        <f>('Incidencia delictiva estados'!E16/'Incidencia delictiva estados'!$N16)*100</f>
        <v>8.6055414582630512</v>
      </c>
      <c r="F38" s="5">
        <f>('Incidencia delictiva estados'!F16/'Incidencia delictiva estados'!$N16)*100</f>
        <v>8.5113014653035481</v>
      </c>
      <c r="G38" s="5">
        <f>('Incidencia delictiva estados'!G16/'Incidencia delictiva estados'!$N16)*100</f>
        <v>7.7588482919459647</v>
      </c>
      <c r="H38" s="5">
        <f>('Incidencia delictiva estados'!H16/'Incidencia delictiva estados'!$N16)*100</f>
        <v>8.6407439459055109</v>
      </c>
      <c r="I38" s="5">
        <f>('Incidencia delictiva estados'!I16/'Incidencia delictiva estados'!$N16)*100</f>
        <v>8.1167402496443088</v>
      </c>
      <c r="J38" s="5">
        <f>('Incidencia delictiva estados'!J16/'Incidencia delictiva estados'!$N16)*100</f>
        <v>9.5292400662980192</v>
      </c>
      <c r="K38" s="5">
        <f>('Incidencia delictiva estados'!K16/'Incidencia delictiva estados'!$N16)*100</f>
        <v>7.6022705604529381</v>
      </c>
      <c r="L38" s="5">
        <f>('Incidencia delictiva estados'!L16/'Incidencia delictiva estados'!$N16)*100</f>
        <v>8.6557783416694782</v>
      </c>
      <c r="M38" s="5">
        <f>('Incidencia delictiva estados'!M16/'Incidencia delictiva estados'!$N16)*100</f>
        <v>7.0423309913900587</v>
      </c>
    </row>
    <row r="39" spans="1:13" ht="15.75" thickBot="1">
      <c r="A39" s="2" t="s">
        <v>16</v>
      </c>
      <c r="B39" s="5">
        <f>('Incidencia delictiva estados'!B17/'Incidencia delictiva estados'!$N17)*100</f>
        <v>6.9224633726543807</v>
      </c>
      <c r="C39" s="5">
        <f>('Incidencia delictiva estados'!C17/'Incidencia delictiva estados'!$N17)*100</f>
        <v>6.1607405230678811</v>
      </c>
      <c r="D39" s="5">
        <f>('Incidencia delictiva estados'!D17/'Incidencia delictiva estados'!$N17)*100</f>
        <v>10.302464212249696</v>
      </c>
      <c r="E39" s="5">
        <f>('Incidencia delictiva estados'!E17/'Incidencia delictiva estados'!$N17)*100</f>
        <v>9.9235968263297085</v>
      </c>
      <c r="F39" s="5">
        <f>('Incidencia delictiva estados'!F17/'Incidencia delictiva estados'!$N17)*100</f>
        <v>9.04160194786113</v>
      </c>
      <c r="G39" s="5">
        <f>('Incidencia delictiva estados'!G17/'Incidencia delictiva estados'!$N17)*100</f>
        <v>10.351580538180597</v>
      </c>
      <c r="H39" s="5">
        <f>('Incidencia delictiva estados'!H17/'Incidencia delictiva estados'!$N17)*100</f>
        <v>8.7893035556861587</v>
      </c>
      <c r="I39" s="5">
        <f>('Incidencia delictiva estados'!I17/'Incidencia delictiva estados'!$N17)*100</f>
        <v>9.0304773099366109</v>
      </c>
      <c r="J39" s="5">
        <f>('Incidencia delictiva estados'!J17/'Incidencia delictiva estados'!$N17)*100</f>
        <v>8.5099282146005617</v>
      </c>
      <c r="K39" s="5">
        <f>('Incidencia delictiva estados'!K17/'Incidencia delictiva estados'!$N17)*100</f>
        <v>7.284119054615676</v>
      </c>
      <c r="L39" s="5">
        <f>('Incidencia delictiva estados'!L17/'Incidencia delictiva estados'!$N17)*100</f>
        <v>6.9787162587632761</v>
      </c>
      <c r="M39" s="5">
        <f>('Incidencia delictiva estados'!M17/'Incidencia delictiva estados'!$N17)*100</f>
        <v>6.7050081860543216</v>
      </c>
    </row>
    <row r="40" spans="1:13" ht="15.75" thickBot="1">
      <c r="A40" s="4" t="s">
        <v>17</v>
      </c>
      <c r="B40" s="5">
        <f>('Incidencia delictiva estados'!B18/'Incidencia delictiva estados'!$N18)*100</f>
        <v>4.8672501026378674</v>
      </c>
      <c r="C40" s="5">
        <f>('Incidencia delictiva estados'!C18/'Incidencia delictiva estados'!$N18)*100</f>
        <v>5.9686504080409017</v>
      </c>
      <c r="D40" s="5">
        <f>('Incidencia delictiva estados'!D18/'Incidencia delictiva estados'!$N18)*100</f>
        <v>8.3811571644184788</v>
      </c>
      <c r="E40" s="5">
        <f>('Incidencia delictiva estados'!E18/'Incidencia delictiva estados'!$N18)*100</f>
        <v>13.734718772244358</v>
      </c>
      <c r="F40" s="5">
        <f>('Incidencia delictiva estados'!F18/'Incidencia delictiva estados'!$N18)*100</f>
        <v>12.341058986499059</v>
      </c>
      <c r="G40" s="5">
        <f>('Incidencia delictiva estados'!G18/'Incidencia delictiva estados'!$N18)*100</f>
        <v>8.3934146363075186</v>
      </c>
      <c r="H40" s="5">
        <f>('Incidencia delictiva estados'!H18/'Incidencia delictiva estados'!$N18)*100</f>
        <v>9.267091789265999</v>
      </c>
      <c r="I40" s="5">
        <f>('Incidencia delictiva estados'!I18/'Incidencia delictiva estados'!$N18)*100</f>
        <v>9.6554911997259047</v>
      </c>
      <c r="J40" s="5">
        <f>('Incidencia delictiva estados'!J18/'Incidencia delictiva estados'!$N18)*100</f>
        <v>7.6084933942564144</v>
      </c>
      <c r="K40" s="5">
        <f>('Incidencia delictiva estados'!K18/'Incidencia delictiva estados'!$N18)*100</f>
        <v>7.2239336737858455</v>
      </c>
      <c r="L40" s="5">
        <f>('Incidencia delictiva estados'!L18/'Incidencia delictiva estados'!$N18)*100</f>
        <v>5.8391347110928642</v>
      </c>
      <c r="M40" s="5">
        <f>('Incidencia delictiva estados'!M18/'Incidencia delictiva estados'!$N18)*100</f>
        <v>6.7196051617247887</v>
      </c>
    </row>
    <row r="41" spans="1:13" ht="43.5" thickBot="1">
      <c r="A41" s="2" t="s">
        <v>18</v>
      </c>
      <c r="B41" s="5">
        <f>('Incidencia delictiva estados'!B19/'Incidencia delictiva estados'!$N19)*100</f>
        <v>5.6966616951149902</v>
      </c>
      <c r="C41" s="5">
        <f>('Incidencia delictiva estados'!C19/'Incidencia delictiva estados'!$N19)*100</f>
        <v>8.9657331197407437</v>
      </c>
      <c r="D41" s="5">
        <f>('Incidencia delictiva estados'!D19/'Incidencia delictiva estados'!$N19)*100</f>
        <v>8.9716253291351347</v>
      </c>
      <c r="E41" s="5">
        <f>('Incidencia delictiva estados'!E19/'Incidencia delictiva estados'!$N19)*100</f>
        <v>9.2529783277173223</v>
      </c>
      <c r="F41" s="5">
        <f>('Incidencia delictiva estados'!F19/'Incidencia delictiva estados'!$N19)*100</f>
        <v>9.700049715516764</v>
      </c>
      <c r="G41" s="5">
        <f>('Incidencia delictiva estados'!G19/'Incidencia delictiva estados'!$N19)*100</f>
        <v>8.7926494687804979</v>
      </c>
      <c r="H41" s="5">
        <f>('Incidencia delictiva estados'!H19/'Incidencia delictiva estados'!$N19)*100</f>
        <v>9.7096245557826499</v>
      </c>
      <c r="I41" s="5">
        <f>('Incidencia delictiva estados'!I19/'Incidencia delictiva estados'!$N19)*100</f>
        <v>8.3315840836693731</v>
      </c>
      <c r="J41" s="5">
        <f>('Incidencia delictiva estados'!J19/'Incidencia delictiva estados'!$N19)*100</f>
        <v>8.4696827413504199</v>
      </c>
      <c r="K41" s="5">
        <f>('Incidencia delictiva estados'!K19/'Incidencia delictiva estados'!$N19)*100</f>
        <v>7.5177226610690679</v>
      </c>
      <c r="L41" s="5">
        <f>('Incidencia delictiva estados'!L19/'Incidencia delictiva estados'!$N19)*100</f>
        <v>7.9253898985435196</v>
      </c>
      <c r="M41" s="5">
        <f>('Incidencia delictiva estados'!M19/'Incidencia delictiva estados'!$N19)*100</f>
        <v>6.6662984035795168</v>
      </c>
    </row>
    <row r="42" spans="1:13" ht="15.75" thickBot="1">
      <c r="A42" s="4" t="s">
        <v>19</v>
      </c>
      <c r="B42" s="5">
        <f>('Incidencia delictiva estados'!B20/'Incidencia delictiva estados'!$N20)*100</f>
        <v>6.2033648099320029</v>
      </c>
      <c r="C42" s="5">
        <f>('Incidencia delictiva estados'!C20/'Incidencia delictiva estados'!$N20)*100</f>
        <v>5.6120082824750757</v>
      </c>
      <c r="D42" s="5">
        <f>('Incidencia delictiva estados'!D20/'Incidencia delictiva estados'!$N20)*100</f>
        <v>7.7838718175939459</v>
      </c>
      <c r="E42" s="5">
        <f>('Incidencia delictiva estados'!E20/'Incidencia delictiva estados'!$N20)*100</f>
        <v>7.9523953640783578</v>
      </c>
      <c r="F42" s="5">
        <f>('Incidencia delictiva estados'!F20/'Incidencia delictiva estados'!$N20)*100</f>
        <v>9.4895739663780283</v>
      </c>
      <c r="G42" s="5">
        <f>('Incidencia delictiva estados'!G20/'Incidencia delictiva estados'!$N20)*100</f>
        <v>9.4536484041429798</v>
      </c>
      <c r="H42" s="5">
        <f>('Incidencia delictiva estados'!H20/'Incidencia delictiva estados'!$N20)*100</f>
        <v>9.5254995286130768</v>
      </c>
      <c r="I42" s="5">
        <f>('Incidencia delictiva estados'!I20/'Incidencia delictiva estados'!$N20)*100</f>
        <v>10.566034449348223</v>
      </c>
      <c r="J42" s="5">
        <f>('Incidencia delictiva estados'!J20/'Incidencia delictiva estados'!$N20)*100</f>
        <v>9.8658125817850877</v>
      </c>
      <c r="K42" s="5">
        <f>('Incidencia delictiva estados'!K20/'Incidencia delictiva estados'!$N20)*100</f>
        <v>8.7741109512000239</v>
      </c>
      <c r="L42" s="5">
        <f>('Incidencia delictiva estados'!L20/'Incidencia delictiva estados'!$N20)*100</f>
        <v>7.7934519675232918</v>
      </c>
      <c r="M42" s="5">
        <f>('Incidencia delictiva estados'!M20/'Incidencia delictiva estados'!$N20)*100</f>
        <v>6.9802278769299102</v>
      </c>
    </row>
    <row r="43" spans="1:13" ht="15.75" thickBot="1">
      <c r="A43" s="2" t="s">
        <v>20</v>
      </c>
      <c r="B43" s="5">
        <f>('Incidencia delictiva estados'!B21/'Incidencia delictiva estados'!$N21)*100</f>
        <v>10.176887586447917</v>
      </c>
      <c r="C43" s="5">
        <f>('Incidencia delictiva estados'!C21/'Incidencia delictiva estados'!$N21)*100</f>
        <v>9.2182254811746347</v>
      </c>
      <c r="D43" s="5">
        <f>('Incidencia delictiva estados'!D21/'Incidencia delictiva estados'!$N21)*100</f>
        <v>8.3381159564337768</v>
      </c>
      <c r="E43" s="5">
        <f>('Incidencia delictiva estados'!E21/'Incidencia delictiva estados'!$N21)*100</f>
        <v>8.5314514913768491</v>
      </c>
      <c r="F43" s="5">
        <f>('Incidencia delictiva estados'!F21/'Incidencia delictiva estados'!$N21)*100</f>
        <v>10.560031805779547</v>
      </c>
      <c r="G43" s="5">
        <f>('Incidencia delictiva estados'!G21/'Incidencia delictiva estados'!$N21)*100</f>
        <v>6.8254176913236266</v>
      </c>
      <c r="H43" s="5">
        <f>('Incidencia delictiva estados'!H21/'Incidencia delictiva estados'!$N21)*100</f>
        <v>8.419554141965353</v>
      </c>
      <c r="I43" s="5">
        <f>('Incidencia delictiva estados'!I21/'Incidencia delictiva estados'!$N21)*100</f>
        <v>10.614217055208035</v>
      </c>
      <c r="J43" s="5">
        <f>('Incidencia delictiva estados'!J21/'Incidencia delictiva estados'!$N21)*100</f>
        <v>7.58914114776542</v>
      </c>
      <c r="K43" s="5">
        <f>('Incidencia delictiva estados'!K21/'Incidencia delictiva estados'!$N21)*100</f>
        <v>5.8398232727249404</v>
      </c>
      <c r="L43" s="5">
        <f>('Incidencia delictiva estados'!L21/'Incidencia delictiva estados'!$N21)*100</f>
        <v>7.0854427640248421</v>
      </c>
      <c r="M43" s="5">
        <f>('Incidencia delictiva estados'!M21/'Incidencia delictiva estados'!$N21)*100</f>
        <v>6.8016916057750576</v>
      </c>
    </row>
    <row r="44" spans="1:13" ht="29.25" thickBot="1">
      <c r="A44" s="4" t="s">
        <v>21</v>
      </c>
      <c r="B44" s="5">
        <f>('Incidencia delictiva estados'!B22/'Incidencia delictiva estados'!$N22)*100</f>
        <v>10.149733588123514</v>
      </c>
      <c r="C44" s="5">
        <f>('Incidencia delictiva estados'!C22/'Incidencia delictiva estados'!$N22)*100</f>
        <v>7.5894116582475899</v>
      </c>
      <c r="D44" s="5">
        <f>('Incidencia delictiva estados'!D22/'Incidencia delictiva estados'!$N22)*100</f>
        <v>9.8676191135217994</v>
      </c>
      <c r="E44" s="5">
        <f>('Incidencia delictiva estados'!E22/'Incidencia delictiva estados'!$N22)*100</f>
        <v>8.66357582758015</v>
      </c>
      <c r="F44" s="5">
        <f>('Incidencia delictiva estados'!F22/'Incidencia delictiva estados'!$N22)*100</f>
        <v>7.6437053873218819</v>
      </c>
      <c r="G44" s="5">
        <f>('Incidencia delictiva estados'!G22/'Incidencia delictiva estados'!$N22)*100</f>
        <v>6.9786072061618061</v>
      </c>
      <c r="H44" s="5">
        <f>('Incidencia delictiva estados'!H22/'Incidencia delictiva estados'!$N22)*100</f>
        <v>8.7346367376920906</v>
      </c>
      <c r="I44" s="5">
        <f>('Incidencia delictiva estados'!I22/'Incidencia delictiva estados'!$N22)*100</f>
        <v>8.6249846966204817</v>
      </c>
      <c r="J44" s="5">
        <f>('Incidencia delictiva estados'!J22/'Incidencia delictiva estados'!$N22)*100</f>
        <v>7.4001820436798376</v>
      </c>
      <c r="K44" s="5">
        <f>('Incidencia delictiva estados'!K22/'Incidencia delictiva estados'!$N22)*100</f>
        <v>7.5369809492885924</v>
      </c>
      <c r="L44" s="5">
        <f>('Incidencia delictiva estados'!L22/'Incidencia delictiva estados'!$N22)*100</f>
        <v>7.7352595187020601</v>
      </c>
      <c r="M44" s="5">
        <f>('Incidencia delictiva estados'!M22/'Incidencia delictiva estados'!$N22)*100</f>
        <v>9.0753032730601966</v>
      </c>
    </row>
    <row r="45" spans="1:13" ht="15.75" thickBot="1">
      <c r="A45" s="2" t="s">
        <v>22</v>
      </c>
      <c r="B45" s="5">
        <f>('Incidencia delictiva estados'!B23/'Incidencia delictiva estados'!$N23)*100</f>
        <v>9.0646104912441032</v>
      </c>
      <c r="C45" s="5">
        <f>('Incidencia delictiva estados'!C23/'Incidencia delictiva estados'!$N23)*100</f>
        <v>7.5527026881159447</v>
      </c>
      <c r="D45" s="5">
        <f>('Incidencia delictiva estados'!D23/'Incidencia delictiva estados'!$N23)*100</f>
        <v>6.4797590734257557</v>
      </c>
      <c r="E45" s="5">
        <f>('Incidencia delictiva estados'!E23/'Incidencia delictiva estados'!$N23)*100</f>
        <v>7.4656294638520198</v>
      </c>
      <c r="F45" s="5">
        <f>('Incidencia delictiva estados'!F23/'Incidencia delictiva estados'!$N23)*100</f>
        <v>10.460660533161585</v>
      </c>
      <c r="G45" s="5">
        <f>('Incidencia delictiva estados'!G23/'Incidencia delictiva estados'!$N23)*100</f>
        <v>8.9811353340985214</v>
      </c>
      <c r="H45" s="5">
        <f>('Incidencia delictiva estados'!H23/'Incidencia delictiva estados'!$N23)*100</f>
        <v>10.037527840044328</v>
      </c>
      <c r="I45" s="5">
        <f>('Incidencia delictiva estados'!I23/'Incidencia delictiva estados'!$N23)*100</f>
        <v>7.9704382805556859</v>
      </c>
      <c r="J45" s="5">
        <f>('Incidencia delictiva estados'!J23/'Incidencia delictiva estados'!$N23)*100</f>
        <v>9.4344917910098687</v>
      </c>
      <c r="K45" s="5">
        <f>('Incidencia delictiva estados'!K23/'Incidencia delictiva estados'!$N23)*100</f>
        <v>7.9405743234734301</v>
      </c>
      <c r="L45" s="5">
        <f>('Incidencia delictiva estados'!L23/'Incidencia delictiva estados'!$N23)*100</f>
        <v>7.9373360630669199</v>
      </c>
      <c r="M45" s="5">
        <f>('Incidencia delictiva estados'!M23/'Incidencia delictiva estados'!$N23)*100</f>
        <v>6.6751341179518366</v>
      </c>
    </row>
    <row r="46" spans="1:13" ht="15.75" thickBot="1">
      <c r="A46" s="4" t="s">
        <v>23</v>
      </c>
      <c r="B46" s="5">
        <f>('Incidencia delictiva estados'!B24/'Incidencia delictiva estados'!$N24)*100</f>
        <v>6.223781676413255</v>
      </c>
      <c r="C46" s="5">
        <f>('Incidencia delictiva estados'!C24/'Incidencia delictiva estados'!$N24)*100</f>
        <v>7.628330084470436</v>
      </c>
      <c r="D46" s="5">
        <f>('Incidencia delictiva estados'!D24/'Incidencia delictiva estados'!$N24)*100</f>
        <v>7.1001949317738786</v>
      </c>
      <c r="E46" s="5">
        <f>('Incidencia delictiva estados'!E24/'Incidencia delictiva estados'!$N24)*100</f>
        <v>8.2292397660818715</v>
      </c>
      <c r="F46" s="5">
        <f>('Incidencia delictiva estados'!F24/'Incidencia delictiva estados'!$N24)*100</f>
        <v>8.496426250812215</v>
      </c>
      <c r="G46" s="5">
        <f>('Incidencia delictiva estados'!G24/'Incidencia delictiva estados'!$N24)*100</f>
        <v>7.155295646523717</v>
      </c>
      <c r="H46" s="5">
        <f>('Incidencia delictiva estados'!H24/'Incidencia delictiva estados'!$N24)*100</f>
        <v>8.1432098765432102</v>
      </c>
      <c r="I46" s="5">
        <f>('Incidencia delictiva estados'!I24/'Incidencia delictiva estados'!$N24)*100</f>
        <v>11.005328135152697</v>
      </c>
      <c r="J46" s="5">
        <f>('Incidencia delictiva estados'!J24/'Incidencia delictiva estados'!$N24)*100</f>
        <v>9.7847953216374268</v>
      </c>
      <c r="K46" s="5">
        <f>('Incidencia delictiva estados'!K24/'Incidencia delictiva estados'!$N24)*100</f>
        <v>8.5806367771280048</v>
      </c>
      <c r="L46" s="5">
        <f>('Incidencia delictiva estados'!L24/'Incidencia delictiva estados'!$N24)*100</f>
        <v>8.235217673814164</v>
      </c>
      <c r="M46" s="5">
        <f>('Incidencia delictiva estados'!M24/'Incidencia delictiva estados'!$N24)*100</f>
        <v>9.4175438596491237</v>
      </c>
    </row>
    <row r="47" spans="1:13" ht="15.75" thickBot="1">
      <c r="A47" s="2" t="s">
        <v>24</v>
      </c>
      <c r="B47" s="5">
        <f>('Incidencia delictiva estados'!B25/'Incidencia delictiva estados'!$N25)*100</f>
        <v>5.5030918939648146</v>
      </c>
      <c r="C47" s="5">
        <f>('Incidencia delictiva estados'!C25/'Incidencia delictiva estados'!$N25)*100</f>
        <v>6.4460279102293336</v>
      </c>
      <c r="D47" s="5">
        <f>('Incidencia delictiva estados'!D25/'Incidencia delictiva estados'!$N25)*100</f>
        <v>7.6689685509408214</v>
      </c>
      <c r="E47" s="5">
        <f>('Incidencia delictiva estados'!E25/'Incidencia delictiva estados'!$N25)*100</f>
        <v>7.8883478035286778</v>
      </c>
      <c r="F47" s="5">
        <f>('Incidencia delictiva estados'!F25/'Incidencia delictiva estados'!$N25)*100</f>
        <v>8.9026243736553159</v>
      </c>
      <c r="G47" s="5">
        <f>('Incidencia delictiva estados'!G25/'Incidencia delictiva estados'!$N25)*100</f>
        <v>8.7387948803988298</v>
      </c>
      <c r="H47" s="5">
        <f>('Incidencia delictiva estados'!H25/'Incidencia delictiva estados'!$N25)*100</f>
        <v>7.5739418052825842</v>
      </c>
      <c r="I47" s="5">
        <f>('Incidencia delictiva estados'!I25/'Incidencia delictiva estados'!$N25)*100</f>
        <v>9.98062807885246</v>
      </c>
      <c r="J47" s="5">
        <f>('Incidencia delictiva estados'!J25/'Incidencia delictiva estados'!$N25)*100</f>
        <v>9.2364868865910772</v>
      </c>
      <c r="K47" s="5">
        <f>('Incidencia delictiva estados'!K25/'Incidencia delictiva estados'!$N25)*100</f>
        <v>10.160812323587217</v>
      </c>
      <c r="L47" s="5">
        <f>('Incidencia delictiva estados'!L25/'Incidencia delictiva estados'!$N25)*100</f>
        <v>8.9285663932415389</v>
      </c>
      <c r="M47" s="5">
        <f>('Incidencia delictiva estados'!M25/'Incidencia delictiva estados'!$N25)*100</f>
        <v>8.9717090997273257</v>
      </c>
    </row>
    <row r="48" spans="1:13" ht="29.25" thickBot="1">
      <c r="A48" s="4" t="s">
        <v>25</v>
      </c>
      <c r="B48" s="5">
        <f>('Incidencia delictiva estados'!B26/'Incidencia delictiva estados'!$N26)*100</f>
        <v>9.5309995801934821</v>
      </c>
      <c r="C48" s="5">
        <f>('Incidencia delictiva estados'!C26/'Incidencia delictiva estados'!$N26)*100</f>
        <v>8.749834744671821</v>
      </c>
      <c r="D48" s="5">
        <f>('Incidencia delictiva estados'!D26/'Incidencia delictiva estados'!$N26)*100</f>
        <v>9.3422026157888993</v>
      </c>
      <c r="E48" s="5">
        <f>('Incidencia delictiva estados'!E26/'Incidencia delictiva estados'!$N26)*100</f>
        <v>8.174630233955158</v>
      </c>
      <c r="F48" s="5">
        <f>('Incidencia delictiva estados'!F26/'Incidencia delictiva estados'!$N26)*100</f>
        <v>9.5977975233734814</v>
      </c>
      <c r="G48" s="5">
        <f>('Incidencia delictiva estados'!G26/'Incidencia delictiva estados'!$N26)*100</f>
        <v>8.2660135312222405</v>
      </c>
      <c r="H48" s="5">
        <f>('Incidencia delictiva estados'!H26/'Incidencia delictiva estados'!$N26)*100</f>
        <v>7.6219236416012031</v>
      </c>
      <c r="I48" s="5">
        <f>('Incidencia delictiva estados'!I26/'Incidencia delictiva estados'!$N26)*100</f>
        <v>7.7163221238034927</v>
      </c>
      <c r="J48" s="5">
        <f>('Incidencia delictiva estados'!J26/'Incidencia delictiva estados'!$N26)*100</f>
        <v>7.7102917539330766</v>
      </c>
      <c r="K48" s="5">
        <f>('Incidencia delictiva estados'!K26/'Incidencia delictiva estados'!$N26)*100</f>
        <v>8.2418920517405745</v>
      </c>
      <c r="L48" s="5">
        <f>('Incidencia delictiva estados'!L26/'Incidencia delictiva estados'!$N26)*100</f>
        <v>7.733253546901202</v>
      </c>
      <c r="M48" s="5">
        <f>('Incidencia delictiva estados'!M26/'Incidencia delictiva estados'!$N26)*100</f>
        <v>7.3148386528153715</v>
      </c>
    </row>
    <row r="49" spans="1:13" ht="29.25" thickBot="1">
      <c r="A49" s="2" t="s">
        <v>26</v>
      </c>
      <c r="B49" s="5">
        <f>('Incidencia delictiva estados'!B27/'Incidencia delictiva estados'!$N27)*100</f>
        <v>7.9628964722718036</v>
      </c>
      <c r="C49" s="5">
        <f>('Incidencia delictiva estados'!C27/'Incidencia delictiva estados'!$N27)*100</f>
        <v>8.7509977191301189</v>
      </c>
      <c r="D49" s="5">
        <f>('Incidencia delictiva estados'!D27/'Incidencia delictiva estados'!$N27)*100</f>
        <v>9.0728509323669133</v>
      </c>
      <c r="E49" s="5">
        <f>('Incidencia delictiva estados'!E27/'Incidencia delictiva estados'!$N27)*100</f>
        <v>10.218193747368476</v>
      </c>
      <c r="F49" s="5">
        <f>('Incidencia delictiva estados'!F27/'Incidencia delictiva estados'!$N27)*100</f>
        <v>10.689866273347919</v>
      </c>
      <c r="G49" s="5">
        <f>('Incidencia delictiva estados'!G27/'Incidencia delictiva estados'!$N27)*100</f>
        <v>6.674192073525119</v>
      </c>
      <c r="H49" s="5">
        <f>('Incidencia delictiva estados'!H27/'Incidencia delictiva estados'!$N27)*100</f>
        <v>6.6816830391622517</v>
      </c>
      <c r="I49" s="5">
        <f>('Incidencia delictiva estados'!I27/'Incidencia delictiva estados'!$N27)*100</f>
        <v>8.18142602154815</v>
      </c>
      <c r="J49" s="5">
        <f>('Incidencia delictiva estados'!J27/'Incidencia delictiva estados'!$N27)*100</f>
        <v>8.3542348495219994</v>
      </c>
      <c r="K49" s="5">
        <f>('Incidencia delictiva estados'!K27/'Incidencia delictiva estados'!$N27)*100</f>
        <v>7.5901563545344883</v>
      </c>
      <c r="L49" s="5">
        <f>('Incidencia delictiva estados'!L27/'Incidencia delictiva estados'!$N27)*100</f>
        <v>8.3010231625823696</v>
      </c>
      <c r="M49" s="5">
        <f>('Incidencia delictiva estados'!M27/'Incidencia delictiva estados'!$N27)*100</f>
        <v>7.522479354640395</v>
      </c>
    </row>
    <row r="50" spans="1:13" ht="15.75" thickBot="1">
      <c r="A50" s="4" t="s">
        <v>27</v>
      </c>
      <c r="B50" s="5">
        <f>('Incidencia delictiva estados'!B28/'Incidencia delictiva estados'!$N28)*100</f>
        <v>10.098109736683844</v>
      </c>
      <c r="C50" s="5">
        <f>('Incidencia delictiva estados'!C28/'Incidencia delictiva estados'!$N28)*100</f>
        <v>8.796268999917455</v>
      </c>
      <c r="D50" s="5">
        <f>('Incidencia delictiva estados'!D28/'Incidencia delictiva estados'!$N28)*100</f>
        <v>9.7965284247019557</v>
      </c>
      <c r="E50" s="5">
        <f>('Incidencia delictiva estados'!E28/'Incidencia delictiva estados'!$N28)*100</f>
        <v>8.9286346001910299</v>
      </c>
      <c r="F50" s="5">
        <f>('Incidencia delictiva estados'!F28/'Incidencia delictiva estados'!$N28)*100</f>
        <v>8.5902031767744074</v>
      </c>
      <c r="G50" s="5">
        <f>('Incidencia delictiva estados'!G28/'Incidencia delictiva estados'!$N28)*100</f>
        <v>6.7067202811221307</v>
      </c>
      <c r="H50" s="5">
        <f>('Incidencia delictiva estados'!H28/'Incidencia delictiva estados'!$N28)*100</f>
        <v>6.8561843331014227</v>
      </c>
      <c r="I50" s="5">
        <f>('Incidencia delictiva estados'!I28/'Incidencia delictiva estados'!$N28)*100</f>
        <v>8.4749360282065496</v>
      </c>
      <c r="J50" s="5">
        <f>('Incidencia delictiva estados'!J28/'Incidencia delictiva estados'!$N28)*100</f>
        <v>8.6986899048382718</v>
      </c>
      <c r="K50" s="5">
        <f>('Incidencia delictiva estados'!K28/'Incidencia delictiva estados'!$N28)*100</f>
        <v>7.6486091293940071</v>
      </c>
      <c r="L50" s="5">
        <f>('Incidencia delictiva estados'!L28/'Incidencia delictiva estados'!$N28)*100</f>
        <v>6.4932844356921331</v>
      </c>
      <c r="M50" s="5">
        <f>('Incidencia delictiva estados'!M28/'Incidencia delictiva estados'!$N28)*100</f>
        <v>8.9118309493767907</v>
      </c>
    </row>
    <row r="51" spans="1:13" ht="15.75" thickBot="1">
      <c r="A51" s="2" t="s">
        <v>28</v>
      </c>
      <c r="B51" s="5">
        <f>('Incidencia delictiva estados'!B29/'Incidencia delictiva estados'!$N29)*100</f>
        <v>10.627507827375137</v>
      </c>
      <c r="C51" s="5">
        <f>('Incidencia delictiva estados'!C29/'Incidencia delictiva estados'!$N29)*100</f>
        <v>8.8677684823753413</v>
      </c>
      <c r="D51" s="5">
        <f>('Incidencia delictiva estados'!D29/'Incidencia delictiva estados'!$N29)*100</f>
        <v>7.753759184953263</v>
      </c>
      <c r="E51" s="5">
        <f>('Incidencia delictiva estados'!E29/'Incidencia delictiva estados'!$N29)*100</f>
        <v>7.0787190824362343</v>
      </c>
      <c r="F51" s="5">
        <f>('Incidencia delictiva estados'!F29/'Incidencia delictiva estados'!$N29)*100</f>
        <v>5.9947014691381026</v>
      </c>
      <c r="G51" s="5">
        <f>('Incidencia delictiva estados'!G29/'Incidencia delictiva estados'!$N29)*100</f>
        <v>9.194268861815587</v>
      </c>
      <c r="H51" s="5">
        <f>('Incidencia delictiva estados'!H29/'Incidencia delictiva estados'!$N29)*100</f>
        <v>9.6845874552964855</v>
      </c>
      <c r="I51" s="5">
        <f>('Incidencia delictiva estados'!I29/'Incidencia delictiva estados'!$N29)*100</f>
        <v>9.0336315839698997</v>
      </c>
      <c r="J51" s="5">
        <f>('Incidencia delictiva estados'!J29/'Incidencia delictiva estados'!$N29)*100</f>
        <v>11.556113986576449</v>
      </c>
      <c r="K51" s="5">
        <f>('Incidencia delictiva estados'!K29/'Incidencia delictiva estados'!$N29)*100</f>
        <v>5.8270206897178509</v>
      </c>
      <c r="L51" s="5">
        <f>('Incidencia delictiva estados'!L29/'Incidencia delictiva estados'!$N29)*100</f>
        <v>7.5201875843516124</v>
      </c>
      <c r="M51" s="5">
        <f>('Incidencia delictiva estados'!M29/'Incidencia delictiva estados'!$N29)*100</f>
        <v>6.8617337919940375</v>
      </c>
    </row>
    <row r="52" spans="1:13" ht="15.75" thickBot="1">
      <c r="A52" s="4" t="s">
        <v>29</v>
      </c>
      <c r="B52" s="5">
        <f>('Incidencia delictiva estados'!B30/'Incidencia delictiva estados'!$N30)*100</f>
        <v>8.3175905993265289</v>
      </c>
      <c r="C52" s="5">
        <f>('Incidencia delictiva estados'!C30/'Incidencia delictiva estados'!$N30)*100</f>
        <v>5.5193034777013112</v>
      </c>
      <c r="D52" s="5">
        <f>('Incidencia delictiva estados'!D30/'Incidencia delictiva estados'!$N30)*100</f>
        <v>6.2974381769267938</v>
      </c>
      <c r="E52" s="5">
        <f>('Incidencia delictiva estados'!E30/'Incidencia delictiva estados'!$N30)*100</f>
        <v>8.2793428625329817</v>
      </c>
      <c r="F52" s="5">
        <f>('Incidencia delictiva estados'!F30/'Incidencia delictiva estados'!$N30)*100</f>
        <v>7.6257717385405392</v>
      </c>
      <c r="G52" s="5">
        <f>('Incidencia delictiva estados'!G30/'Incidencia delictiva estados'!$N30)*100</f>
        <v>7.8586177578039598</v>
      </c>
      <c r="H52" s="5">
        <f>('Incidencia delictiva estados'!H30/'Incidencia delictiva estados'!$N30)*100</f>
        <v>8.1829482285870814</v>
      </c>
      <c r="I52" s="5">
        <f>('Incidencia delictiva estados'!I30/'Incidencia delictiva estados'!$N30)*100</f>
        <v>11.78547154549284</v>
      </c>
      <c r="J52" s="5">
        <f>('Incidencia delictiva estados'!J30/'Incidencia delictiva estados'!$N30)*100</f>
        <v>9.44460668146613</v>
      </c>
      <c r="K52" s="5">
        <f>('Incidencia delictiva estados'!K30/'Incidencia delictiva estados'!$N30)*100</f>
        <v>8.308028665128143</v>
      </c>
      <c r="L52" s="5">
        <f>('Incidencia delictiva estados'!L30/'Incidencia delictiva estados'!$N30)*100</f>
        <v>9.2200304431310425</v>
      </c>
      <c r="M52" s="5">
        <f>('Incidencia delictiva estados'!M30/'Incidencia delictiva estados'!$N30)*100</f>
        <v>9.1608498233626481</v>
      </c>
    </row>
    <row r="53" spans="1:13" ht="29.25" thickBot="1">
      <c r="A53" s="2" t="s">
        <v>30</v>
      </c>
      <c r="B53" s="5">
        <f>('Incidencia delictiva estados'!B31/'Incidencia delictiva estados'!$N31)*100</f>
        <v>9.5838493931136988</v>
      </c>
      <c r="C53" s="5">
        <f>('Incidencia delictiva estados'!C31/'Incidencia delictiva estados'!$N31)*100</f>
        <v>7.3056371421494042</v>
      </c>
      <c r="D53" s="5">
        <f>('Incidencia delictiva estados'!D31/'Incidencia delictiva estados'!$N31)*100</f>
        <v>8.9369758307087999</v>
      </c>
      <c r="E53" s="5">
        <f>('Incidencia delictiva estados'!E31/'Incidencia delictiva estados'!$N31)*100</f>
        <v>6.8710853179518026</v>
      </c>
      <c r="F53" s="5">
        <f>('Incidencia delictiva estados'!F31/'Incidencia delictiva estados'!$N31)*100</f>
        <v>11.824197600764357</v>
      </c>
      <c r="G53" s="5">
        <f>('Incidencia delictiva estados'!G31/'Incidencia delictiva estados'!$N31)*100</f>
        <v>7.5597154888708022</v>
      </c>
      <c r="H53" s="5">
        <f>('Incidencia delictiva estados'!H31/'Incidencia delictiva estados'!$N31)*100</f>
        <v>8.2515304858629115</v>
      </c>
      <c r="I53" s="5">
        <f>('Incidencia delictiva estados'!I31/'Incidencia delictiva estados'!$N31)*100</f>
        <v>8.3888318765702969</v>
      </c>
      <c r="J53" s="5">
        <f>('Incidencia delictiva estados'!J31/'Incidencia delictiva estados'!$N31)*100</f>
        <v>8.9769630914045084</v>
      </c>
      <c r="K53" s="5">
        <f>('Incidencia delictiva estados'!K31/'Incidencia delictiva estados'!$N31)*100</f>
        <v>7.76885240100499</v>
      </c>
      <c r="L53" s="5">
        <f>('Incidencia delictiva estados'!L31/'Incidencia delictiva estados'!$N31)*100</f>
        <v>7.2875897944017831</v>
      </c>
      <c r="M53" s="5">
        <f>('Incidencia delictiva estados'!M31/'Incidencia delictiva estados'!$N31)*100</f>
        <v>7.2447715771966461</v>
      </c>
    </row>
    <row r="54" spans="1:13" ht="15.75" thickBot="1">
      <c r="A54" s="4" t="s">
        <v>31</v>
      </c>
      <c r="B54" s="5">
        <f>('Incidencia delictiva estados'!B32/'Incidencia delictiva estados'!$N32)*100</f>
        <v>7.534195099954907</v>
      </c>
      <c r="C54" s="5">
        <f>('Incidencia delictiva estados'!C32/'Incidencia delictiva estados'!$N32)*100</f>
        <v>6.4710541224895657</v>
      </c>
      <c r="D54" s="5">
        <f>('Incidencia delictiva estados'!D32/'Incidencia delictiva estados'!$N32)*100</f>
        <v>5.3561724612378452</v>
      </c>
      <c r="E54" s="5">
        <f>('Incidencia delictiva estados'!E32/'Incidencia delictiva estados'!$N32)*100</f>
        <v>7.7061822890772236</v>
      </c>
      <c r="F54" s="5">
        <f>('Incidencia delictiva estados'!F32/'Incidencia delictiva estados'!$N32)*100</f>
        <v>9.7411231486084944</v>
      </c>
      <c r="G54" s="5">
        <f>('Incidencia delictiva estados'!G32/'Incidencia delictiva estados'!$N32)*100</f>
        <v>8.8736717964134169</v>
      </c>
      <c r="H54" s="5">
        <f>('Incidencia delictiva estados'!H32/'Incidencia delictiva estados'!$N32)*100</f>
        <v>8.0088219311126263</v>
      </c>
      <c r="I54" s="5">
        <f>('Incidencia delictiva estados'!I32/'Incidencia delictiva estados'!$N32)*100</f>
        <v>9.7836141012151838</v>
      </c>
      <c r="J54" s="5">
        <f>('Incidencia delictiva estados'!J32/'Incidencia delictiva estados'!$N32)*100</f>
        <v>11.659286151996207</v>
      </c>
      <c r="K54" s="5">
        <f>('Incidencia delictiva estados'!K32/'Incidencia delictiva estados'!$N32)*100</f>
        <v>8.7227855565447623</v>
      </c>
      <c r="L54" s="5">
        <f>('Incidencia delictiva estados'!L32/'Incidencia delictiva estados'!$N32)*100</f>
        <v>7.8420377157788854</v>
      </c>
      <c r="M54" s="5">
        <f>('Incidencia delictiva estados'!M32/'Incidencia delictiva estados'!$N32)*100</f>
        <v>8.3010556255708821</v>
      </c>
    </row>
    <row r="55" spans="1:13" ht="43.5" thickBot="1">
      <c r="A55" s="2" t="s">
        <v>32</v>
      </c>
      <c r="B55" s="5">
        <f>('Incidencia delictiva estados'!B33/'Incidencia delictiva estados'!$N33)*100</f>
        <v>7.6898364259891467</v>
      </c>
      <c r="C55" s="5">
        <f>('Incidencia delictiva estados'!C33/'Incidencia delictiva estados'!$N33)*100</f>
        <v>8.7395588998041447</v>
      </c>
      <c r="D55" s="5">
        <f>('Incidencia delictiva estados'!D33/'Incidencia delictiva estados'!$N33)*100</f>
        <v>9.0615976528329352</v>
      </c>
      <c r="E55" s="5">
        <f>('Incidencia delictiva estados'!E33/'Incidencia delictiva estados'!$N33)*100</f>
        <v>10.876936296709166</v>
      </c>
      <c r="F55" s="5">
        <f>('Incidencia delictiva estados'!F33/'Incidencia delictiva estados'!$N33)*100</f>
        <v>8.0633549316054705</v>
      </c>
      <c r="G55" s="5">
        <f>('Incidencia delictiva estados'!G33/'Incidencia delictiva estados'!$N33)*100</f>
        <v>8.576217128436177</v>
      </c>
      <c r="H55" s="5">
        <f>('Incidencia delictiva estados'!H33/'Incidencia delictiva estados'!$N33)*100</f>
        <v>7.6995130712123672</v>
      </c>
      <c r="I55" s="5">
        <f>('Incidencia delictiva estados'!I33/'Incidencia delictiva estados'!$N33)*100</f>
        <v>7.0833043033976644</v>
      </c>
      <c r="J55" s="5">
        <f>('Incidencia delictiva estados'!J33/'Incidencia delictiva estados'!$N33)*100</f>
        <v>9.8121182563459435</v>
      </c>
      <c r="K55" s="5">
        <f>('Incidencia delictiva estados'!K33/'Incidencia delictiva estados'!$N33)*100</f>
        <v>7.5640400380872759</v>
      </c>
      <c r="L55" s="5">
        <f>('Incidencia delictiva estados'!L33/'Incidencia delictiva estados'!$N33)*100</f>
        <v>7.2683217600656462</v>
      </c>
      <c r="M55" s="5">
        <f>('Incidencia delictiva estados'!M33/'Incidencia delictiva estados'!$N33)*100</f>
        <v>7.5652012355140617</v>
      </c>
    </row>
    <row r="56" spans="1:13" ht="15.75" thickBot="1">
      <c r="A56" s="4" t="s">
        <v>33</v>
      </c>
      <c r="B56" s="5">
        <f>('Incidencia delictiva estados'!B34/'Incidencia delictiva estados'!$N34)*100</f>
        <v>12.737170465002979</v>
      </c>
      <c r="C56" s="5">
        <f>('Incidencia delictiva estados'!C34/'Incidencia delictiva estados'!$N34)*100</f>
        <v>5.6159665457695009</v>
      </c>
      <c r="D56" s="5">
        <f>('Incidencia delictiva estados'!D34/'Incidencia delictiva estados'!$N34)*100</f>
        <v>7.7630190007037303</v>
      </c>
      <c r="E56" s="5">
        <f>('Incidencia delictiva estados'!E34/'Incidencia delictiva estados'!$N34)*100</f>
        <v>8.0279326584745299</v>
      </c>
      <c r="F56" s="5">
        <f>('Incidencia delictiva estados'!F34/'Incidencia delictiva estados'!$N34)*100</f>
        <v>10.778230390299356</v>
      </c>
      <c r="G56" s="5">
        <f>('Incidencia delictiva estados'!G34/'Incidencia delictiva estados'!$N34)*100</f>
        <v>8.7499323336761758</v>
      </c>
      <c r="H56" s="5">
        <f>('Incidencia delictiva estados'!H34/'Incidencia delictiva estados'!$N34)*100</f>
        <v>8.030639311427489</v>
      </c>
      <c r="I56" s="5">
        <f>('Incidencia delictiva estados'!I34/'Incidencia delictiva estados'!$N34)*100</f>
        <v>8.153115357548856</v>
      </c>
      <c r="J56" s="5">
        <f>('Incidencia delictiva estados'!J34/'Incidencia delictiva estados'!$N34)*100</f>
        <v>8.9529313051480539</v>
      </c>
      <c r="K56" s="5">
        <f>('Incidencia delictiva estados'!K34/'Incidencia delictiva estados'!$N34)*100</f>
        <v>5.98373301575272</v>
      </c>
      <c r="L56" s="5">
        <f>('Incidencia delictiva estados'!L34/'Incidencia delictiva estados'!$N34)*100</f>
        <v>7.2227034049694145</v>
      </c>
      <c r="M56" s="5">
        <f>('Incidencia delictiva estados'!M34/'Incidencia delictiva estados'!$N34)*100</f>
        <v>7.9846262112271971</v>
      </c>
    </row>
    <row r="57" spans="1:13" ht="15.75" thickBot="1">
      <c r="A57" s="2" t="s">
        <v>34</v>
      </c>
      <c r="B57" s="5">
        <f>('Incidencia delictiva estados'!B35/'Incidencia delictiva estados'!$N35)*100</f>
        <v>9.9080878671979811</v>
      </c>
      <c r="C57" s="5">
        <f>('Incidencia delictiva estados'!C35/'Incidencia delictiva estados'!$N35)*100</f>
        <v>6.2649766047911779</v>
      </c>
      <c r="D57" s="5">
        <f>('Incidencia delictiva estados'!D35/'Incidencia delictiva estados'!$N35)*100</f>
        <v>6.8436826261372206</v>
      </c>
      <c r="E57" s="5">
        <f>('Incidencia delictiva estados'!E35/'Incidencia delictiva estados'!$N35)*100</f>
        <v>9.107778156017007</v>
      </c>
      <c r="F57" s="5">
        <f>('Incidencia delictiva estados'!F35/'Incidencia delictiva estados'!$N35)*100</f>
        <v>10.031571850991543</v>
      </c>
      <c r="G57" s="5">
        <f>('Incidencia delictiva estados'!G35/'Incidencia delictiva estados'!$N35)*100</f>
        <v>7.17575442039288</v>
      </c>
      <c r="H57" s="5">
        <f>('Incidencia delictiva estados'!H35/'Incidencia delictiva estados'!$N35)*100</f>
        <v>8.0631704012228251</v>
      </c>
      <c r="I57" s="5">
        <f>('Incidencia delictiva estados'!I35/'Incidencia delictiva estados'!$N35)*100</f>
        <v>11.561438288044748</v>
      </c>
      <c r="J57" s="5">
        <f>('Incidencia delictiva estados'!J35/'Incidencia delictiva estados'!$N35)*100</f>
        <v>8.9008590480386083</v>
      </c>
      <c r="K57" s="5">
        <f>('Incidencia delictiva estados'!K35/'Incidencia delictiva estados'!$N35)*100</f>
        <v>7.4634387285822044</v>
      </c>
      <c r="L57" s="5">
        <f>('Incidencia delictiva estados'!L35/'Incidencia delictiva estados'!$N35)*100</f>
        <v>7.1787580848635333</v>
      </c>
      <c r="M57" s="5">
        <f>('Incidencia delictiva estados'!M35/'Incidencia delictiva estados'!$N35)*100</f>
        <v>7.5004839237202718</v>
      </c>
    </row>
  </sheetData>
  <mergeCells count="2">
    <mergeCell ref="B23:M23"/>
    <mergeCell ref="A23:A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Incidencia delictiva estados</vt:lpstr>
      <vt:lpstr>incidencia vs desempleo</vt:lpstr>
      <vt:lpstr>desempleo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RAVELO RUIZ</dc:creator>
  <cp:lastModifiedBy>MARCO ANTONIO RAVELO RUIZ</cp:lastModifiedBy>
  <dcterms:created xsi:type="dcterms:W3CDTF">2023-05-30T23:29:55Z</dcterms:created>
  <dcterms:modified xsi:type="dcterms:W3CDTF">2023-06-03T00:39:27Z</dcterms:modified>
</cp:coreProperties>
</file>